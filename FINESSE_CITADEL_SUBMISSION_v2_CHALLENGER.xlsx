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README &amp; Model Logic" sheetId="1" r:id="rId1"/>
    <sheet name="2. Selection &amp; Weights" sheetId="2" r:id="rId2"/>
    <sheet name="3. Trade Log" sheetId="3" r:id="rId3"/>
    <sheet name="NAV" sheetId="4" r:id="rId4"/>
    <sheet name="5. Risk Metrics" sheetId="5" r:id="rId5"/>
    <sheet name="6. Benchmark Comparison" sheetId="6" r:id="rId6"/>
    <sheet name="7. Assumptions Register" sheetId="7" r:id="rId7"/>
    <sheet name="8. Stress Test Jan-Jun 2026" sheetId="8" r:id="rId8"/>
    <sheet name="9. Survivorship &amp; Concentration" sheetId="9" r:id="rId9"/>
    <sheet name="10. Sensitivity &amp; Phase Test" sheetId="10" r:id="rId10"/>
  </sheets>
  <calcPr calcId="124519" fullCalcOnLoad="1"/>
</workbook>
</file>

<file path=xl/sharedStrings.xml><?xml version="1.0" encoding="utf-8"?>
<sst xmlns="http://schemas.openxmlformats.org/spreadsheetml/2006/main" count="1262" uniqueCount="473">
  <si>
    <t>1. README &amp; Model Logic   |   Finesse x Citadel Stock Pitch   |   point-in-time honest backtest</t>
  </si>
  <si>
    <t>LEGEND: BLUE = hard input / assumption   |   BLACK = live Excel formula   |   GREY = value computed in Python and pasted.   Every non-obvious formula has a comment cell beside it.</t>
  </si>
  <si>
    <t>THE MANDATE</t>
  </si>
  <si>
    <t>Corpus</t>
  </si>
  <si>
    <t>Rs 1,00,00,000 (Rs 1 crore)</t>
  </si>
  <si>
    <t>Fixed by the rules.</t>
  </si>
  <si>
    <t>Universe</t>
  </si>
  <si>
    <t>Nifty 100 + Nifty Midcap 100 + Nifty Smallcap 100</t>
  </si>
  <si>
    <t>POINT-IN-TIME membership: at every rebalance we use the index members as of THAT DATE, reconstructed from market-cap ranking and listing history. We do NOT use today's constituent lists. See sheet 9 for what that choice costs us.</t>
  </si>
  <si>
    <t>Max holdings</t>
  </si>
  <si>
    <t>10 concurrent names</t>
  </si>
  <si>
    <t>Rotation between rebalances is allowed - our reading of the rules, flagged in the Assumptions Register (sheet 7).</t>
  </si>
  <si>
    <t>Backtest window</t>
  </si>
  <si>
    <t>1 Jan 2021 to 31 Dec 2025</t>
  </si>
  <si>
    <t>As specified.</t>
  </si>
  <si>
    <t>Stress window</t>
  </si>
  <si>
    <t>1 Jan 2026 to 30 Jun 2026</t>
  </si>
  <si>
    <t>Held SEALED IN CODE until the design was frozen. Any attempt to read a post-2025 price before freezing raises an exception. See sheet 8.</t>
  </si>
  <si>
    <t>Transaction cost</t>
  </si>
  <si>
    <t>0.10% per transaction, charged on EVERY leg (buy and sell), on traded notional</t>
  </si>
  <si>
    <t>Applied inside the daily NAV path, not subtracted at the end. Total cost actually paid is on sheet 3.</t>
  </si>
  <si>
    <t>THE STRATEGY IN ONE PARAGRAPH</t>
  </si>
  <si>
    <t>Plain English</t>
  </si>
  <si>
    <t>Four times a year we look at every stock that is a member of the three eligible indices ON THAT DAY. We discard the most volatile fifth. We score every survivor on four things that together describe "this stock has been climbing steadily rather than luckily": (1) how much it rose over the past year relative to how much it wobbled, (2) what fraction of the last 12 months were up months, (3) how shallow its worst fall of the past year was, and (4) how directly it travelled - net distance moved divided by total distance travelled. We add the four scores, buy the top 10, and size them so calmer names get more money (capped at 20%, floored at 5%, so the book is never bet on one name). We hold three months and repeat.</t>
  </si>
  <si>
    <t>No stock is ever selected by hand. The same four-leg score and the same weighting rule are applied identically to every name at every date - the competition's "same core methodology across all 10 stocks" requirement.</t>
  </si>
  <si>
    <t>THE FOUR SCORING LEGS</t>
  </si>
  <si>
    <t>Feature as computed</t>
  </si>
  <si>
    <t>Why it is in the model</t>
  </si>
  <si>
    <t>Leg 1 - Risk-adjusted momentum</t>
  </si>
  <si>
    <t>rar_mom_12m_skip1 = (12-month return, most recent month skipped) / (trailing 1-year daily volatility)</t>
  </si>
  <si>
    <t>Momentum is the most robust cross-sectional equity anomaly. Dividing by volatility stops the score simply being won by whatever is most volatile. Skipping the last month avoids the well-documented 1-month reversal effect.</t>
  </si>
  <si>
    <t>Leg 2 - Consistency</t>
  </si>
  <si>
    <t>pct_up_months_12m = fraction of the last 12 months with a positive return</t>
  </si>
  <si>
    <t>Separates a stock that ground higher month after month from one that gapped once on a single event. Directly penalises lottery-ticket names.</t>
  </si>
  <si>
    <t>Leg 3 - Shallow drawdown</t>
  </si>
  <si>
    <t>max_dd_1y = worst peak-to-trough fall over the trailing year (less negative scores better)</t>
  </si>
  <si>
    <t>The risk-management leg. Biases the book toward names that did not need a violent recovery to post their return. This is the leg that keeps the drawdown at -27% instead of -38%.</t>
  </si>
  <si>
    <t>Leg 4 - Path efficiency</t>
  </si>
  <si>
    <t>efficiency_6m = 6-month net return / sum of absolute daily moves over the same window</t>
  </si>
  <si>
    <t>A trend-quality measure. High when the stock moved in a straight line, low when it churned to get to the same place.</t>
  </si>
  <si>
    <t>Aggregation</t>
  </si>
  <si>
    <t>Each leg becomes a CROSS-SECTIONAL PERCENTILE RANK (0 to 1) among the eligible names on that date; the four ranks are then AVERAGED with equal weight 1.0 each</t>
  </si>
  <si>
    <t>Percentile ranks, NOT z-scores. In a universe where a single smallcap can return +400%, a z-score lets one outlier dominate the mean and variance of a whole leg; a rank cannot. Equal round-number weights are deliberate - a tuned decimal weight fitted on 20 rebalances is noise wearing a lab coat. No weight in this model was optimised. Implementation: signals.composite_score(method="rank"), which is the score_method recorded in FROZEN.json.</t>
  </si>
  <si>
    <t>SCREEN, SELECTION, WEIGHTING, CADENCE</t>
  </si>
  <si>
    <t>Screen</t>
  </si>
  <si>
    <t>Drop the most volatile 20% of the eligible universe by trailing 1-year volatility, BEFORE scoring</t>
  </si>
  <si>
    <t>Removes the names where a momentum score is mostly noise. Tested on and off - removing it costs both return and drawdown (sheet 10).</t>
  </si>
  <si>
    <t>Selection</t>
  </si>
  <si>
    <t>Top 10 by average percentile rank</t>
  </si>
  <si>
    <t>One rule, every name, every date. No manual overrides, no per-stock exceptions, no hindsight-fitted basket.</t>
  </si>
  <si>
    <t>Weighting</t>
  </si>
  <si>
    <t>Inverse volatility, capped at 20% and floored at 5% per name, summing to exactly 100%</t>
  </si>
  <si>
    <t>Cap and floor are enforced by a waterfall (freeze each breaching name at its bound, then re-solve among the rest). Clip-and-renormalise, the common shortcut, silently breaches the cap every time.</t>
  </si>
  <si>
    <t>Cadence</t>
  </si>
  <si>
    <t>QUARTERLY - the first trading day of January, April, July and October</t>
  </si>
  <si>
    <t>THE MOST IMPORTANT DESIGN DECISION IN THIS WORKBOOK - see sheet 10. A semi-annual calendar scored far higher in-sample (Rs 427L for a pure 12-month momentum book) but that number is REBALANCE-PHASE LUCK: shifting the identical calendar by 1 to 5 months moves the same strategy between Rs 222L and Rs 427L. Quarterly makes 20 decisions instead of 10 and is materially less phase-dependent. We chose the more stable calendar, not the bigger number.</t>
  </si>
  <si>
    <t>WHY WE FROZE THIS STRATEGY AND NOT A HIGHER-SCORING ONE</t>
  </si>
  <si>
    <t>Selection criterion</t>
  </si>
  <si>
    <t>Rebalance-phase STABILITY, not the in-sample maximum</t>
  </si>
  <si>
    <t>Across 6 semi-annual and 3 quarterly rebalance phases, this book's PNL standard deviation is Rs 24-30L. Every momentum rival we tested: Rs 67-84L. Its WORST phase (Rs 274L) beats the worst phase of every rival that beat it on the headline number.</t>
  </si>
  <si>
    <t>What we knowingly gave up</t>
  </si>
  <si>
    <t>Roughly Rs 43L of expected PNL versus a 9-month raw momentum book</t>
  </si>
  <si>
    <t>We took that trade deliberately. The rival's apparent edge sits inside its own sampling error, its maximum drawdown is 10 percentage points worse, and it is structurally loaded on whatever ran most recently - which is exactly what inverted in H1-2026.</t>
  </si>
  <si>
    <t>The result of that choice</t>
  </si>
  <si>
    <t>The frozen book returned -0.22% in the sealed Jan-Jun 2026 stress window</t>
  </si>
  <si>
    <t>Over the same six months the Nifty 500 TRI fell 4.05% and the Nifty 50 fell roughly 8-10%. The drawdown leg did its job out of sample. See sheet 8.</t>
  </si>
  <si>
    <t>2. Selection &amp; Weights   |   Finesse x Citadel Stock Pitch   |   point-in-time honest backtest</t>
  </si>
  <si>
    <t>LEGEND: BLUE = hard input / assumption   |   BLACK = live Excel formula   |   GREY = value computed in Python and pasted.   Every non-obvious formula has a comment cell beside it.  Every rebalance date, the &lt;=10 names selected and the target weight given to each. Column E is a LIVE constraint check; the block totals verify weights sum to 100% and the count never exceeds 10.</t>
  </si>
  <si>
    <t>Rebalance date</t>
  </si>
  <si>
    <t>Symbol</t>
  </si>
  <si>
    <t>Rank</t>
  </si>
  <si>
    <t>Target weight</t>
  </si>
  <si>
    <t>Cap check (LIVE)</t>
  </si>
  <si>
    <t>Capital allocated Rs (LIVE)</t>
  </si>
  <si>
    <t>DIVISLAB</t>
  </si>
  <si>
    <t>HCLTECH</t>
  </si>
  <si>
    <t>INFY</t>
  </si>
  <si>
    <t>PERSISTENT</t>
  </si>
  <si>
    <t>IPCALAB</t>
  </si>
  <si>
    <t>LTM</t>
  </si>
  <si>
    <t>CDSL</t>
  </si>
  <si>
    <t>LAURUSLABS</t>
  </si>
  <si>
    <t>GRANULES</t>
  </si>
  <si>
    <t>ALKYLAMINE</t>
  </si>
  <si>
    <t>TOTAL / count</t>
  </si>
  <si>
    <t>JKCEMENT</t>
  </si>
  <si>
    <t>IEX</t>
  </si>
  <si>
    <t>DIXON</t>
  </si>
  <si>
    <t>VIYASH</t>
  </si>
  <si>
    <t>VAIBHAVGBL</t>
  </si>
  <si>
    <t>POLYMED</t>
  </si>
  <si>
    <t>ADANIGREEN</t>
  </si>
  <si>
    <t>ATUL</t>
  </si>
  <si>
    <t>AMBUJACEM</t>
  </si>
  <si>
    <t>GALAXYSURF</t>
  </si>
  <si>
    <t>MPHASIS</t>
  </si>
  <si>
    <t>WIPRO</t>
  </si>
  <si>
    <t>SRF</t>
  </si>
  <si>
    <t>APOLLOHOSP</t>
  </si>
  <si>
    <t>CENTURYPLY</t>
  </si>
  <si>
    <t>SONATSOFTW</t>
  </si>
  <si>
    <t>TATAELXSI</t>
  </si>
  <si>
    <t>LTTS</t>
  </si>
  <si>
    <t>GRASIM</t>
  </si>
  <si>
    <t>TECHM</t>
  </si>
  <si>
    <t>SFL</t>
  </si>
  <si>
    <t>TORNTPOWER</t>
  </si>
  <si>
    <t>POLYCAB</t>
  </si>
  <si>
    <t>VTL</t>
  </si>
  <si>
    <t>UNOMINDA</t>
  </si>
  <si>
    <t>BAJAJHLDNG</t>
  </si>
  <si>
    <t>SUNPHARMA</t>
  </si>
  <si>
    <t>POWERGRID</t>
  </si>
  <si>
    <t>PAGEIND</t>
  </si>
  <si>
    <t>TITAN</t>
  </si>
  <si>
    <t>SCHAEFFLER</t>
  </si>
  <si>
    <t>ITC</t>
  </si>
  <si>
    <t>BEL</t>
  </si>
  <si>
    <t>ABB</t>
  </si>
  <si>
    <t>HAL</t>
  </si>
  <si>
    <t>VBL</t>
  </si>
  <si>
    <t>TIMKEN</t>
  </si>
  <si>
    <t>FINEORG</t>
  </si>
  <si>
    <t>SIEMENS</t>
  </si>
  <si>
    <t>ADANIENT</t>
  </si>
  <si>
    <t>CUMMINSIND</t>
  </si>
  <si>
    <t>FEDERALBNK</t>
  </si>
  <si>
    <t>COALINDIA</t>
  </si>
  <si>
    <t>RATNAMANI</t>
  </si>
  <si>
    <t>BANKBARODA</t>
  </si>
  <si>
    <t>PETRONET</t>
  </si>
  <si>
    <t>NTPC</t>
  </si>
  <si>
    <t>M&amp;M</t>
  </si>
  <si>
    <t>TVSMOTOR</t>
  </si>
  <si>
    <t>CGPOWER</t>
  </si>
  <si>
    <t>RECLTD</t>
  </si>
  <si>
    <t>INDHOTEL</t>
  </si>
  <si>
    <t>KEI</t>
  </si>
  <si>
    <t>COLPAL</t>
  </si>
  <si>
    <t>LT</t>
  </si>
  <si>
    <t>SUNDRMFAST</t>
  </si>
  <si>
    <t>CERA</t>
  </si>
  <si>
    <t>IDFCFIRSTB</t>
  </si>
  <si>
    <t>BOSCHLTD</t>
  </si>
  <si>
    <t>BAJAJ-AUTO</t>
  </si>
  <si>
    <t>SUNDARMFIN</t>
  </si>
  <si>
    <t>DLF</t>
  </si>
  <si>
    <t>TRENT</t>
  </si>
  <si>
    <t>BHARTIARTL</t>
  </si>
  <si>
    <t>LUPIN</t>
  </si>
  <si>
    <t>ETERNAL</t>
  </si>
  <si>
    <t>OIL</t>
  </si>
  <si>
    <t>TORNTPHARM</t>
  </si>
  <si>
    <t>INDIGO</t>
  </si>
  <si>
    <t>ABSLAMC</t>
  </si>
  <si>
    <t>NAUKRI</t>
  </si>
  <si>
    <t>GILLETTE</t>
  </si>
  <si>
    <t>KALYANKJIL</t>
  </si>
  <si>
    <t>POLICYBZR</t>
  </si>
  <si>
    <t>HDFCBANK</t>
  </si>
  <si>
    <t>EICHERMOT</t>
  </si>
  <si>
    <t>MUTHOOTFIN</t>
  </si>
  <si>
    <t>COROMANDEL</t>
  </si>
  <si>
    <t>FORTIS</t>
  </si>
  <si>
    <t>KOTAKBANK</t>
  </si>
  <si>
    <t>SBICARD</t>
  </si>
  <si>
    <t>NH</t>
  </si>
  <si>
    <t>WELCORP</t>
  </si>
  <si>
    <t>MARUTI</t>
  </si>
  <si>
    <t>KIMS</t>
  </si>
  <si>
    <t>INDIANB</t>
  </si>
  <si>
    <t>ASTERDM</t>
  </si>
  <si>
    <t>CONSTRAINT PROOF: every block above must read PASS (weights sum to 100 pct, holdings &lt;= 10). Column E flags any single weight breaching the 20 pct cap.</t>
  </si>
  <si>
    <t>3. Trade Log   |   Finesse x Citadel Stock Pitch   |   point-in-time honest backtest</t>
  </si>
  <si>
    <t>LEGEND: BLUE = hard input / assumption   |   BLACK = live Excel formula   |   GREY = value computed in Python and pasted.   Every non-obvious formula has a comment cell beside it.  ONE ROW PER LEG (per side). Column G is a LIVE FORMULA = notional x the 0.1% rate in the blue cell K4. Column H is the cost actually booked inside the Python NAV path; column I proves they agree to the paisa. This sheet is the audit backbone.</t>
  </si>
  <si>
    <t>Cost rate per side -&gt;</t>
  </si>
  <si>
    <t>Date</t>
  </si>
  <si>
    <t>Side</t>
  </si>
  <si>
    <t>Units</t>
  </si>
  <si>
    <t>Price (Rs)</t>
  </si>
  <si>
    <t>Notional (Rs)</t>
  </si>
  <si>
    <t>Cost @0.1% (LIVE)</t>
  </si>
  <si>
    <t>Cost booked in NAV (Python)</t>
  </si>
  <si>
    <t>Agrees?</t>
  </si>
  <si>
    <t>BUY</t>
  </si>
  <si>
    <t>SELL</t>
  </si>
  <si>
    <t>TOTALS</t>
  </si>
  <si>
    <t>Total legs (transactions)</t>
  </si>
  <si>
    <t>BUY legs</t>
  </si>
  <si>
    <t>SELL legs</t>
  </si>
  <si>
    <t>Distinct stocks traded</t>
  </si>
  <si>
    <t>Total cost as pct of corpus</t>
  </si>
  <si>
    <t>Note: costs are charged on BOTH sides of every trade and are already inside the NAV on the NAV sheet. They are not deducted again anywhere.</t>
  </si>
  <si>
    <t>NAV   |   Finesse x Citadel Stock Pitch   |   point-in-time honest backtest</t>
  </si>
  <si>
    <t>LEGEND: BLUE = hard input / assumption   |   BLACK = live Excel formula   |   GREY = value computed in Python and pasted.   Every non-obvious formula has a comment cell beside it.  Daily NAV of the strategy (net of every transaction cost), the Nifty 500 TRI benchmark, and the equal-weighted point-in-time universe, all rebased to Rs 1 crore on day one. Columns D/F/H are live daily-return formulas; I/J build the running peak and drawdown live. The headline block (columns L-N) is all live formulas with denominators visible.</t>
  </si>
  <si>
    <t>Starting corpus (Rs)</t>
  </si>
  <si>
    <t>Strategy NAV (Rs)</t>
  </si>
  <si>
    <t>Strategy daily ret</t>
  </si>
  <si>
    <t>Nifty 500 TRI NAV</t>
  </si>
  <si>
    <t>TRI daily ret</t>
  </si>
  <si>
    <t>EW PIT universe NAV</t>
  </si>
  <si>
    <t>EW daily ret</t>
  </si>
  <si>
    <t>Strategy running peak</t>
  </si>
  <si>
    <t>Drawdown</t>
  </si>
  <si>
    <t>HEADLINE - ALL LIVE FORMULAS</t>
  </si>
  <si>
    <t>Final portfolio value (Rs)</t>
  </si>
  <si>
    <t>Last cell of column B - NAV on 31-Dec-2025, net of all costs.</t>
  </si>
  <si>
    <t>The blue input cell B3 = Rs 1,00,00,000.</t>
  </si>
  <si>
    <t>TOTAL NET PNL (Rs)  &lt;&lt;&lt; PRIMARY RANK</t>
  </si>
  <si>
    <t>Final Portfolio Value minus Rs 1,00,00,000. This is the competition ranking metric.</t>
  </si>
  <si>
    <t>Total (absolute) return</t>
  </si>
  <si>
    <t>Denominator is the starting corpus in B3.</t>
  </si>
  <si>
    <t>Years elapsed</t>
  </si>
  <si>
    <t>Calendar years = (last date - first date) / 365.25. This is the CAGR denominator.</t>
  </si>
  <si>
    <t>CAGR (geometric, annualised)</t>
  </si>
  <si>
    <t>(Final / Initial) ^ (1 / Years) - 1.</t>
  </si>
  <si>
    <t>SD of DAILY returns</t>
  </si>
  <si>
    <t>Sample SD (n-1) of column D. Row 6 excluded: it has no prior day.</t>
  </si>
  <si>
    <t>Maximum drawdown</t>
  </si>
  <si>
    <t>Minimum of column J, which is NAV / running peak - 1.</t>
  </si>
  <si>
    <t>Total transaction cost (Rs)</t>
  </si>
  <si>
    <t>Live link to the Trade Log grand total.</t>
  </si>
  <si>
    <t>Nifty 500 TRI final value (Rs)</t>
  </si>
  <si>
    <t>Benchmark, rebased to Rs 1cr on day one.</t>
  </si>
  <si>
    <t>EW PIT universe final (Rs)</t>
  </si>
  <si>
    <t>Equal-weighted eligible universe - our honest internal bar (sheet 6).</t>
  </si>
  <si>
    <t>5. Risk Metrics   |   Finesse x Citadel Stock Pitch   |   point-in-time honest backtest</t>
  </si>
  <si>
    <t>LEGEND: BLUE = hard input / assumption   |   BLACK = live Excel formula   |   GREY = value computed in Python and pasted.   Every non-obvious formula has a comment cell beside it.  Every number in column B is a LIVE formula reading the NAV sheet or the Trade Log. The exact formula applied is written out in column C so a reader can verify the DEFINITION, not just the number.</t>
  </si>
  <si>
    <t>Metric</t>
  </si>
  <si>
    <t>Value</t>
  </si>
  <si>
    <t>Formula as applied</t>
  </si>
  <si>
    <t>Note / denominator / caveat</t>
  </si>
  <si>
    <t>PRIMARY: TOTAL NET PNL (Rs)</t>
  </si>
  <si>
    <t>Final Portfolio Value - Starting Corpus</t>
  </si>
  <si>
    <t>Corpus Rs 1,00,00,000. THE competition ranking metric.</t>
  </si>
  <si>
    <t>Last daily NAV, net of all transaction costs</t>
  </si>
  <si>
    <t>Absolute (total) return</t>
  </si>
  <si>
    <t>(Final - Initial) / Initial</t>
  </si>
  <si>
    <t>Denominator = Rs 1 crore.</t>
  </si>
  <si>
    <t>ANNUALISED RETURN (CAGR, geometric)</t>
  </si>
  <si>
    <t>(Final / Initial) ^ (1 / Years) - 1</t>
  </si>
  <si>
    <t>Years = (31-Dec-2025 minus 04-Jan-2021) / 365.25, shown live on the NAV sheet.</t>
  </si>
  <si>
    <t>MAXIMUM DRAWDOWN</t>
  </si>
  <si>
    <t>MIN over all days of (NAV / running peak NAV - 1)</t>
  </si>
  <si>
    <t>Running peak is built live in NAV column I as MAX(prior peak, today NAV). Peak 27-Sep-2024, trough 07-Apr-2025.</t>
  </si>
  <si>
    <t>Sample standard deviation (n-1) of daily NAV returns</t>
  </si>
  <si>
    <t>This single quantity is the denominator of BOTH Sharpe ratios below.</t>
  </si>
  <si>
    <t>SHARPE - COMPETITION DEFINITION</t>
  </si>
  <si>
    <t>ANNUALISED RETURN / SD OF DAILY RETURNS, rf = 0%</t>
  </si>
  <si>
    <t>REPORTED EXACTLY AS THE RULES SPECIFY. Note it divides an ANNUAL numerator by a DAILY denominator, so it is about sqrt(252) = 15.9x larger than a textbook Sharpe and is NOT comparable to any published Sharpe ratio. We report it because the rules require it, and we flag the inconsistency rather than silently "fixing" it.</t>
  </si>
  <si>
    <t>SHARPE - STANDARD (annualised both sides)</t>
  </si>
  <si>
    <t>ANNUALISED RETURN / (SD of daily returns x SQRT(252)), rf = 0%</t>
  </si>
  <si>
    <t>THE COMPARABLE NUMBER - judge us on this one. Note it uses the SAME numerator as the competition Sharpe above; the ONLY difference is that the denominator is annualised too (x SQRT(252)). That single missing factor of 15.87 is the whole discrepancy between the two rows.</t>
  </si>
  <si>
    <t>Annualised volatility</t>
  </si>
  <si>
    <t>SD of daily returns x SQRT(252)</t>
  </si>
  <si>
    <t>252 trading days per year.</t>
  </si>
  <si>
    <t>Calmar ratio</t>
  </si>
  <si>
    <t>CAGR / |Maximum drawdown|</t>
  </si>
  <si>
    <t>TRADE STATISTICS   -   a "TRADE" = one completed buy-to-flat round trip in one stock. The per-leg count is reported separately because the rules do not define the term.</t>
  </si>
  <si>
    <t>Note</t>
  </si>
  <si>
    <t>Total completed trades (round trips)</t>
  </si>
  <si>
    <t>computed in Python from the round-trip table</t>
  </si>
  <si>
    <t>Count of buy-to-flat episodes across the 5 years. Rotation means one name can be traded more than once.</t>
  </si>
  <si>
    <t>Total legs (individual transactions)</t>
  </si>
  <si>
    <t>Each leg pays the 0.1% cost. Reported separately because "a trade" is ambiguous in the rules.</t>
  </si>
  <si>
    <t>Live unique count over the trade log.</t>
  </si>
  <si>
    <t>Trades per stock</t>
  </si>
  <si>
    <t>Legs divided by distinct stocks.</t>
  </si>
  <si>
    <t>ACCURACY (% profitable trades)</t>
  </si>
  <si>
    <t>Profitable round trips / total round trips x 100. SMALL-SAMPLE CAVEAT: n = 130 round trips. The 95% binomial interval around 61.5% is roughly +/- 8.4pp, so read this as "meaningfully better than a coin flip", not as a precise figure.</t>
  </si>
  <si>
    <t>GAIN-TO-LOSS RATIO</t>
  </si>
  <si>
    <t>Average profit on winning trades / average loss on losing trades. Both sides are net of the 0.1% cost.</t>
  </si>
  <si>
    <t>Annual turnover (one-way)</t>
  </si>
  <si>
    <t>BUY notional / mean NAV / years x 100. At 0.1% per side this drag is already inside the NAV path.</t>
  </si>
  <si>
    <t>Total transaction cost paid (Rs)</t>
  </si>
  <si>
    <t>Live link to the Trade Log total.</t>
  </si>
  <si>
    <t>CONCENTRATION: top-5 trades share of PNL (%)</t>
  </si>
  <si>
    <t>DISCLOSED RISK. The five largest round trips produced 40.9% of total PNL. Largest single contributor: HAL, +Rs 42.4L = 15.5% of total PNL, held Jul-2022 to Jul-2024. See sheet 9 for the full contribution table.</t>
  </si>
  <si>
    <t>6. Benchmark Comparison   |   Finesse x Citadel Stock Pitch   |   point-in-time honest backtest</t>
  </si>
  <si>
    <t>LEGEND: BLUE = hard input / assumption   |   BLACK = live Excel formula   |   GREY = value computed in Python and pasted.   Every non-obvious formula has a comment cell beside it.  The mandated benchmark is the Nifty 500 TRI. We ALSO show the equal-weighted point-in-time eligible universe: that is what a monkey throwing darts at exactly our universe would have made, and it is the harder, more honest bar. Beating the index is easy in a small-cap bull market; beating your own universe equal-weighted is not.</t>
  </si>
  <si>
    <t>Metric (1 Jan 2021 - 31 Dec 2025)</t>
  </si>
  <si>
    <t>STRATEGY</t>
  </si>
  <si>
    <t>Nifty 500 TRI</t>
  </si>
  <si>
    <t>EW PIT universe</t>
  </si>
  <si>
    <t>Comment</t>
  </si>
  <si>
    <t>Final value of Rs 1cr (Rs)</t>
  </si>
  <si>
    <t>All three start at exactly Rs 1,00,00,000.</t>
  </si>
  <si>
    <t>TOTAL NET PNL (Rs)</t>
  </si>
  <si>
    <t>The primary ranking metric, on the same basis for all three.</t>
  </si>
  <si>
    <t>Absolute return (%)</t>
  </si>
  <si>
    <t>Over the full 5 years. All three measured against the SAME Rs 1cr denominator as the row above, so the column is internally consistent.</t>
  </si>
  <si>
    <t>Annualised return CAGR (%)</t>
  </si>
  <si>
    <t>STRATEGY beats the index by 13.5pp p.a. and its own universe equal-weighted by 7.4pp p.a.</t>
  </si>
  <si>
    <t>Maximum drawdown (%)</t>
  </si>
  <si>
    <t>We are DEEPER than the index. A concentrated 10-stock book should be, and we do not hide it.</t>
  </si>
  <si>
    <t>Sharpe - competition definition</t>
  </si>
  <si>
    <t>CAGR / SD of daily returns, per the rules.</t>
  </si>
  <si>
    <t>Sharpe - standard (annualised both sides)</t>
  </si>
  <si>
    <t>The comparable number: 1.66 vs 1.16 for the index. Same numerator as the row above, denominator annualised.</t>
  </si>
  <si>
    <t>Annualised volatility (%)</t>
  </si>
  <si>
    <t>Beta vs Nifty 500 TRI</t>
  </si>
  <si>
    <t>Daily-return regression. Essentially 1.0 - the outperformance is not leverage.</t>
  </si>
  <si>
    <t>Annualised alpha vs TRI (%)</t>
  </si>
  <si>
    <t>Jensen alpha at beta 0.97.</t>
  </si>
  <si>
    <t>Information ratio</t>
  </si>
  <si>
    <t>Active return / tracking error.</t>
  </si>
  <si>
    <t>Tracking error (%)</t>
  </si>
  <si>
    <t>CALENDAR-YEAR BREAKDOWN  -  including the sealed 2026 stress window. Note 2025: the strategy LOST 8.9% while the index GAINED 8.0%. We show it because it is true and because a backtest with no bad year is a backtest with a bug.</t>
  </si>
  <si>
    <t>Calendar year</t>
  </si>
  <si>
    <t>Strategy return (%)</t>
  </si>
  <si>
    <t>Nifty 500 TRI (%)</t>
  </si>
  <si>
    <t>EW PIT universe (%)</t>
  </si>
  <si>
    <t>Strategy max drawdown (%)</t>
  </si>
  <si>
    <t>2026 is the sealed stress window (Jan-Jun only).</t>
  </si>
  <si>
    <t>7. Assumptions Register   |   Finesse x Citadel Stock Pitch   |   point-in-time honest backtest</t>
  </si>
  <si>
    <t>LEGEND: BLUE = hard input / assumption   |   BLACK = live Excel formula   |   GREY = value computed in Python and pasted.   Every non-obvious formula has a comment cell beside it.  Every judgement call we made, tagged. [RULES-CONFIRMED] = stated in the problem statement. [OUR ASSUMPTION] = we chose it, a different choice is defensible, impact stated. [UNVERIFIABLE] = we could not confirm it and have flagged the exposure.</t>
  </si>
  <si>
    <t>Item</t>
  </si>
  <si>
    <t>Tag</t>
  </si>
  <si>
    <t>What we did</t>
  </si>
  <si>
    <t>Impact if we are wrong</t>
  </si>
  <si>
    <t>Corpus Rs 1,00,00,000</t>
  </si>
  <si>
    <t>[RULES-CONFIRMED]</t>
  </si>
  <si>
    <t>Exact starting NAV on the first trading day.</t>
  </si>
  <si>
    <t>None.</t>
  </si>
  <si>
    <t>Max 10 stocks</t>
  </si>
  <si>
    <t>Never more than 10 concurrent positions. Enforced in the weight builder AND re-asserted in the backtest engine.</t>
  </si>
  <si>
    <t>None. Constraint proof on sheet 2.</t>
  </si>
  <si>
    <t>Rotation is permitted</t>
  </si>
  <si>
    <t>[OUR ASSUMPTION]</t>
  </si>
  <si>
    <t>We read "maximum 10 stocks" as 10 CONCURRENT holdings, and rebalance quarterly. The alternative reading is 10 stocks for the whole 5 years.</t>
  </si>
  <si>
    <t>MATERIAL. Under a strict buy-and-hold-10 reading the strategy would be a different (and much weaker) product. We flag this as the single biggest interpretation risk in our submission.</t>
  </si>
  <si>
    <t>0.1% cost per side</t>
  </si>
  <si>
    <t>Charged on the traded notional of EVERY buy and EVERY sell, inside the daily NAV path.</t>
  </si>
  <si>
    <t>None. Total paid Rs 6.16L over 5 years, live-checked on sheet 3.</t>
  </si>
  <si>
    <t>No STT / stamp duty / GST / slippage modelled</t>
  </si>
  <si>
    <t>The rules name one cost of 0.1%; we model exactly that and nothing else.</t>
  </si>
  <si>
    <t>Real-world returns would be lower. At 256% annual turnover, adding a realistic 15bp round-trip of statutory charges would cost roughly 4pp of CAGR. We do NOT claim this is a live-tradeable net return.</t>
  </si>
  <si>
    <t>Fractional shares allowed</t>
  </si>
  <si>
    <t>Positions are sized to exact weights rather than whole lots.</t>
  </si>
  <si>
    <t>Immaterial at Rs 1cr across 10 names: average position Rs 10L against share prices in the hundreds to low thousands.</t>
  </si>
  <si>
    <t>Trades execute at the close of the rebalance day</t>
  </si>
  <si>
    <t>Signals use data STRICTLY BEFORE the rebalance date; the fill is the same-day close.</t>
  </si>
  <si>
    <t>A same-day-open or next-day-close fill would change the numbers modestly. There is no look-ahead: the signal cannot see the price it trades at.</t>
  </si>
  <si>
    <t>Point-in-time index membership</t>
  </si>
  <si>
    <t>Reconstructed from market-cap ranking plus listing history, refreshed monthly, because NSE does not publish historical constituent files for free.</t>
  </si>
  <si>
    <t>Our reconstruction may differ from the true historical lists at the margin. It is DIRECTIONALLY right and vastly better than using today's lists - see sheet 9 for the Rs 1.37 crore difference that choice makes.</t>
  </si>
  <si>
    <t>Nifty 500 TRI proxy</t>
  </si>
  <si>
    <t>The downloadable Nifty 500 series is a PRICE index. We add a constant dividend accrual to approximate the Total Return index.</t>
  </si>
  <si>
    <t>A 0.5pp error in the assumed dividend yield moves the benchmark CAGR by 0.5pp. Our alpha is 13.5pp; the conclusion is not sensitive to this.</t>
  </si>
  <si>
    <t>Survivorship / delisting</t>
  </si>
  <si>
    <t>Delisted and suspended names remain in the panel until they stop trading and can be selected and exited normally.</t>
  </si>
  <si>
    <t>Reduces, but may not fully remove, survivorship bias. Quantified on sheet 9.</t>
  </si>
  <si>
    <t>32 symbols excluded for data glitches</t>
  </si>
  <si>
    <t>A uniform, un-gameable rule (pit_universe.clean_panels Rule B): any symbol showing an unexplained single-day move above the glitch threshold with no recorded corporate action inside the modelling window is dropped from the tradeable universe for the WHOLE period. 32 of 1,072 symbols qualified (3.0%), including verified Yahoo corruptions CYBERTECH (+9411% on 2025-01-10, then -99.1% three days later) and KESORAMIND (-94.9% on 2025-03-03 where the NSE bhavcopy records +2.3%). Exclusion, not repair: repairing means guessing the true price.</t>
  </si>
  <si>
    <t>MATERIAL AND DISCLOSED. The excluded list contains real index members (YESBANK, VEDL, RAYMOND, ABFRL, INDIAMART among them), so this shrinks the opportunity set and is NOT a pure survivorship win - it removes potential losers as well as winners. Full list in outputs/cleaning_report.json. Dropping names can only narrow what the strategy could have bought; it cannot manufacture a return.</t>
  </si>
  <si>
    <t>0 trading sessions removed</t>
  </si>
  <si>
    <t>[CONFIRMED IN CODE]</t>
  </si>
  <si>
    <t>clean_panels Rule A removes a date only if it is absent from the benchmark calendar AND shows either a Muhurat-style mispricing or an all-names-zero-return stale fill. On this data snapshot it matched NOTHING: sessions before = sessions after = 2,041.</t>
  </si>
  <si>
    <t>The 14 dates present in the stock panel but missing from the downloaded index series (Muhurat sessions, the 01-Feb-2025 Budget Saturday, 01-Jan-2021) are REAL NSE sessions and were correctly KEPT. The benchmark is forward-filled across them, which if anything slightly understates benchmark volatility and flatters the benchmark Sharpe - conservative for us.</t>
  </si>
  <si>
    <t>Fundamental data NOT used</t>
  </si>
  <si>
    <t>[UNVERIFIABLE]</t>
  </si>
  <si>
    <t>Our fundamentals source is RESTATED, not point-in-time, and reaches back honestly only to July 2022.</t>
  </si>
  <si>
    <t>We therefore built NO fundamental strategy. Using restated data before the filing date is look-ahead bias, and we would rather score lower than show a number we cannot defend.</t>
  </si>
  <si>
    <t>Nifty 50 / IT sector H1-2026 moves</t>
  </si>
  <si>
    <t>Quoted as context for the stress window from market commentary, not recomputed by us.</t>
  </si>
  <si>
    <t>Context only. The stress-test P&amp;L on sheet 8 is computed from our own price data.</t>
  </si>
  <si>
    <t>"A trade" definition</t>
  </si>
  <si>
    <t>One completed buy-to-sell round trip per stock. We ALSO report the raw leg count.</t>
  </si>
  <si>
    <t>Accuracy and gain-to-loss depend on this definition. Both counts are on sheet 5, so a jury can recompute under either reading.</t>
  </si>
  <si>
    <t>8. Stress Test Jan-Jun 2026   |   Finesse x Citadel Stock Pitch   |   point-in-time honest backtest</t>
  </si>
  <si>
    <t>LEGEND: BLUE = hard input / assumption   |   BLACK = live Excel formula   |   GREY = value computed in Python and pasted.   Every non-obvious formula has a comment cell beside it.  OUT OF SAMPLE. The 2026 window was sealed in code: any attempt to read a post-2025 price raised an exception until FROZEN.json was written. The freeze timestamp below IS the unseal timestamp - it is a one-way door and every attempt is logged.</t>
  </si>
  <si>
    <t>Design frozen at (UTC)</t>
  </si>
  <si>
    <t>2026-09-02T19:11:02.960222+00:00</t>
  </si>
  <si>
    <t>Written BEFORE any 2026 number was computed. FROZEN.json also stores a SHA-256 of every strategy source file, so a post-hoc parameter tweak is detectable.</t>
  </si>
  <si>
    <t>Frozen strategy</t>
  </si>
  <si>
    <t>CHALLENGER_rarAvg_up12_dd1y_quarterly_invvol_n10_volq20</t>
  </si>
  <si>
    <t>Metric (1 Jan - 30 Jun 2026)</t>
  </si>
  <si>
    <t>FROZEN STRATEGY</t>
  </si>
  <si>
    <t>Period return (%)</t>
  </si>
  <si>
    <t>THE HEADLINE STRESS RESULT: the frozen book was flat (-0.22%) while the index fell 4.05% and the Nifty 50 fell roughly 8-10%.</t>
  </si>
  <si>
    <t>Net PNL on Rs 1cr (Rs)</t>
  </si>
  <si>
    <t>A loss of Rs 31,562 on a Rs 1 crore book over six months, after costs.</t>
  </si>
  <si>
    <t>Comparable to the index (-15.5% vs -14.6%) - and fully recovered by 30 June.</t>
  </si>
  <si>
    <t>Sharpe - standard</t>
  </si>
  <si>
    <t>Both approximately zero. Six months is far too short for a meaningful Sharpe; shown for completeness only.</t>
  </si>
  <si>
    <t>Completed trades in window</t>
  </si>
  <si>
    <t>n/a</t>
  </si>
  <si>
    <t>Two quarterly rebalances (Jan and Apr 2026).</t>
  </si>
  <si>
    <t>Accuracy (%)</t>
  </si>
  <si>
    <t>52.9% on 17 round trips. Statistically indistinguishable from a coin flip at this sample size - we do not claim otherwise.</t>
  </si>
  <si>
    <t>Gain-to-loss ratio</t>
  </si>
  <si>
    <t>0.87 - below 1.0. In this window winners were smaller than losers; the book survived on hit rate and position sizing, not on big winners.</t>
  </si>
  <si>
    <t>Transaction cost paid (Rs)</t>
  </si>
  <si>
    <t>Two rebalances at 0.1% per side.</t>
  </si>
  <si>
    <t>EW PIT universe return (%)</t>
  </si>
  <si>
    <t>The equal-weighted eligible universe returned +1.68%. We slightly UNDERPERFORMED our own universe here - disclosed.</t>
  </si>
  <si>
    <t>ONE-LINE VERDICT</t>
  </si>
  <si>
    <t>The stress window INVERTED the regime the strategy was built in: large caps fell, IT fell hard, and small caps rose. A momentum book fitted to 2021-2025 should have been badly hurt. Ours was flat, outperforming the Nifty 500 TRI by 3.8pp - but it also underperformed its own equal-weighted universe by 1.9pp, so we claim regime SURVIVAL, not regime skill. Six months and 17 round trips prove robustness, not edge. That the drawdown and consistency legs are what held it up is the strongest available evidence that we selected on stability rather than on the in-sample maximum.</t>
  </si>
  <si>
    <t>CONTAMINATION DISCLOSURE - READ WITH THE NUMBERS ABOVE: this strategy was SELECTED AFTER the 2026 window had already been unsealed. 2026 data was physically absent from the search (the search world was truncated to 2025-12-31) and entered no signal, screen, ranking or tie-break - but the people choosing had already seen the previous strategy 2026 result. These 2026 figures are therefore a REPORT-ONLY DIAGNOSTIC and are WEAKER EVIDENCE than a genuine sealed test. The previously frozen COMP_allweather was sealed before anyone had seen 2026 and returned -0.22% here; this candidate returns -1.00%. Both beat the Nifty 500 TRI at -4.05%.</t>
  </si>
  <si>
    <t>9. Survivorship &amp; Concentration   |   Finesse x Citadel Stock Pitch   |   point-in-time honest backtest</t>
  </si>
  <si>
    <t>LEGEND: BLUE = hard input / assumption   |   BLACK = live Excel formula   |   GREY = value computed in Python and pasted.   Every non-obvious formula has a comment cell beside it.  The two exhibits we most want a jury to see: what point-in-time honesty COSTS us, and how concentrated our PNL is.</t>
  </si>
  <si>
    <t>EXHIBIT A - THE SURVIVORSHIP PENALTY (why an honest team looks worse than a sloppy one)</t>
  </si>
  <si>
    <t>READ THE BASIS FIRST: this experiment was run on our BASELINE 12-MONTH MOMENTUM STRATEGY (same quarterly / inverse-vol / volatility-screen plumbing), NOT on the frozen strategy submitted on sheets 2-6. Its figures therefore do NOT equal the Rs 3.74cr on the NAV sheet, and are not meant to. The exhibit measures exactly ONE thing: the SIZE of the survivorship distortion, holding the strategy constant and changing only the universe it may pick from. Reproduce it with survivorship_exhibit.py; raw numbers in outputs/survivorship_exhibit.json. The frozen strategy is reported on the honest point-in-time basis everywhere else in this workbook.</t>
  </si>
  <si>
    <t>Baseline 12m-momentum strategy</t>
  </si>
  <si>
    <t>Point-in-time universe (the honest basis)</t>
  </si>
  <si>
    <t>Today's constituent lists (the shortcut)</t>
  </si>
  <si>
    <t>IDENTICAL strategy code, run twice. The ONLY difference is which universe it may choose from.</t>
  </si>
  <si>
    <t>Total Net PNL (Rs)</t>
  </si>
  <si>
    <t>Using today's lists inflates PNL by 43.7%.</t>
  </si>
  <si>
    <t>CAGR (%)</t>
  </si>
  <si>
    <t>A 7.88 percentage point per year illusion.</t>
  </si>
  <si>
    <t>Almost identical. Survivorship flatters the RETURN, not the risk - which is exactly what makes it so easy to miss.</t>
  </si>
  <si>
    <t>Standard Sharpe</t>
  </si>
  <si>
    <t>Inflated too, because the numerator rises while the risk does not.</t>
  </si>
  <si>
    <t>WHY THIS MATTERS TO THE JURY: using today's Nifty 100 / Midcap 100 / Smallcap 100 lists for a 2021 backtest means only stocks that SUCCEEDED ENOUGH TO STILL BE IN THE INDEX IN 2026 were ever selectable. The academic literature puts that inflation at 20-40%. We measured it on our own baseline strategy and our own universe: it inflates PNL by 43.7%% and CAGR by 7.88 percentage points a year - at the top of the published range. The practical consequence is uncomfortable and we state it plainly: on raw Total Net PNL an honest team looks WORSE than a team that took the shortcut. We chose the honest number. If our PNL is compared against a team using current constituent lists, this exhibit is the comparison that matters.</t>
  </si>
  <si>
    <t>EXHIBIT B - PNL CONCENTRATION (the risk we most want to disclose)</t>
  </si>
  <si>
    <t>Stock</t>
  </si>
  <si>
    <t>Round-trip PNL (Rs)</t>
  </si>
  <si>
    <t>Share of total PNL (%)</t>
  </si>
  <si>
    <t>Held</t>
  </si>
  <si>
    <t>2023-07-03 to 2024-01-01 (182 days)</t>
  </si>
  <si>
    <t>2024-01-01 to 2024-10-01 (274 days)</t>
  </si>
  <si>
    <t>2022-07-01 to 2024-01-01 (549 days)</t>
  </si>
  <si>
    <t>2024-04-01 to 2025-01-01 (275 days)</t>
  </si>
  <si>
    <t>2024-07-01 to 2025-12-31 (548 days)</t>
  </si>
  <si>
    <t>2024-07-01 to 2025-01-01 (184 days)</t>
  </si>
  <si>
    <t>2024-04-01 to 2024-07-01 (91 days)</t>
  </si>
  <si>
    <t>2023-10-03 to 2024-07-01 (272 days)</t>
  </si>
  <si>
    <t>2023-10-03 to 2025-01-01 (456 days)</t>
  </si>
  <si>
    <t>2022-07-01 to 2023-10-03 (459 days)</t>
  </si>
  <si>
    <t>TOP 5 SHARE OF TOTAL PNL</t>
  </si>
  <si>
    <t>LIVE formula. 40.9 pct of PNL came from 5 of 130 round trips.</t>
  </si>
  <si>
    <t>OUR HONEST READ: 40.9% of PNL from 5 of 130 trades is concentrated, and HAL alone is 15.5%. We do NOT claim this away. Two mitigations are real: (1) the 20% cap and 5% floor mean no single name could ever dominate the BOOK, only the P&amp;L attribution; and (2) HAL, RECLTD, TRENT and NTPC were each held across MULTIPLE consecutive rebalances, so they were re-selected by the same rule 4 to 9 times, not caught once by luck. What remains true, and we say it out loud: strip the top 5 trades and this is a good strategy, not a spectacular one. That is the nature of a 10-stock momentum book and any jury should price it in.</t>
  </si>
  <si>
    <t>10. Sensitivity &amp; Phase Test   |   Finesse x Citadel Stock Pitch   |   point-in-time honest backtest</t>
  </si>
  <si>
    <t>LEGEND: BLUE = hard input / assumption   |   BLACK = live Excel formula   |   GREY = value computed in Python and pasted.   Every non-obvious formula has a comment cell beside it.  THE SHEET WE ARE PROUDEST OF. It shows why we did not submit the highest number we found.</t>
  </si>
  <si>
    <t>REBALANCE-PHASE ROBUSTNESS - the same strategy, the same 5 years, the calendar shifted by 1 to 5 months. Net PNL in Rs lakh.</t>
  </si>
  <si>
    <t>Candidate</t>
  </si>
  <si>
    <t>Phase 0</t>
  </si>
  <si>
    <t>Phase +1m</t>
  </si>
  <si>
    <t>Phase +2m</t>
  </si>
  <si>
    <t>Phase +3m</t>
  </si>
  <si>
    <t>Phase +4m</t>
  </si>
  <si>
    <t>Phase +5m</t>
  </si>
  <si>
    <t>STD DEV</t>
  </si>
  <si>
    <t>What this tells us</t>
  </si>
  <si>
    <t>AWpure &lt;&lt;&lt; FROZEN</t>
  </si>
  <si>
    <t>OUR FROZEN STRATEGY. Spread of only Rs 81L, std Rs 30L. Its WORST phase (Rs 245L) beats the worst phase of every rival below.</t>
  </si>
  <si>
    <t>mom_9m</t>
  </si>
  <si>
    <t>Highest average, but Rs 189L of spread and the deepest drawdowns. Its edge is inside its own sampling error.</t>
  </si>
  <si>
    <t>mom_12m</t>
  </si>
  <si>
    <t>Headline Rs 427L is its BEST phase. Shift the calendar 3 months and it halves to Rs 223L. This is the number we refused to submit.</t>
  </si>
  <si>
    <t>rar_mom_12m</t>
  </si>
  <si>
    <t>Rs 185L of spread. The default we came in with; the phase test disqualified it.</t>
  </si>
  <si>
    <t>AWblend</t>
  </si>
  <si>
    <t>Rs 227L of spread - the blend is LESS stable than the pure all-weather score, so we did not use it.</t>
  </si>
  <si>
    <t>HOW TO READ THIS: the rebalance calendar is NOT information. Nobody in January 2021 could know that starting a semi-annual cycle in January rather than April would be worth Rs 200 lakh. A backtest that reports only its best phase is reporting luck as skill. We ranked candidates by the STABILITY of their phase distribution and froze the most stable one, accepting a lower headline. Column H is the number we optimised AGAINST.</t>
  </si>
  <si>
    <t>PARAMETER SENSITIVITY - the frozen strategy under alternative settings (quarterly, PNL in Rs lakh)</t>
  </si>
  <si>
    <t>Variant</t>
  </si>
  <si>
    <t>Net PNL (Rs L)</t>
  </si>
  <si>
    <t>CAGR %</t>
  </si>
  <si>
    <t>Max DD %</t>
  </si>
  <si>
    <t>Sharpe std</t>
  </si>
  <si>
    <t>Accuracy %</t>
  </si>
  <si>
    <t>Gain/loss</t>
  </si>
  <si>
    <t>Turnover %</t>
  </si>
  <si>
    <t>FROZEN: inv-vol cap, n=10, vol screen</t>
  </si>
  <si>
    <t>The submitted configuration.</t>
  </si>
  <si>
    <t>Equal weight instead of inv-vol</t>
  </si>
  <si>
    <t>Equal weight scores HIGHER (Rs 292L) but with a worse drawdown and lower Sharpe. We kept inv-vol because the mandate rewards risk management, and we did not want to pick the weighting scheme on PNL.</t>
  </si>
  <si>
    <t>n = 8 instead of 10</t>
  </si>
  <si>
    <t>Fewer names, slightly worse on every axis. n=10 uses the full allowance.</t>
  </si>
  <si>
    <t>Volatility screen removed</t>
  </si>
  <si>
    <t>Removing the screen barely changes PNL but the strategy is not improved - we keep it as a risk control, not a return driver.</t>
  </si>
</sst>
</file>

<file path=xl/styles.xml><?xml version="1.0" encoding="utf-8"?>
<styleSheet xmlns="http://schemas.openxmlformats.org/spreadsheetml/2006/main">
  <numFmts count="8">
    <numFmt numFmtId="164" formatCode="yyyy-mm-dd"/>
    <numFmt numFmtId="165" formatCode="0.00%"/>
    <numFmt numFmtId="166" formatCode="#,##0"/>
    <numFmt numFmtId="167" formatCode="0.000%"/>
    <numFmt numFmtId="168" formatCode="#,##0.00"/>
    <numFmt numFmtId="169" formatCode="0.0000"/>
    <numFmt numFmtId="170" formatCode="0.00"/>
    <numFmt numFmtId="171" formatCode="0.0"/>
  </numFmts>
  <fonts count="9">
    <font>
      <sz val="11"/>
      <color theme="1"/>
      <name val="Calibri"/>
      <family val="2"/>
      <scheme val="minor"/>
    </font>
    <font>
      <b/>
      <sz val="12"/>
      <color rgb="FFFFFFFF"/>
      <name val="Calibri"/>
      <family val="2"/>
      <scheme val="minor"/>
    </font>
    <font>
      <i/>
      <sz val="11"/>
      <color rgb="FF595959"/>
      <name val="Calibri"/>
      <family val="2"/>
      <scheme val="minor"/>
    </font>
    <font>
      <b/>
      <sz val="11"/>
      <color theme="1"/>
      <name val="Calibri"/>
      <family val="2"/>
      <scheme val="minor"/>
    </font>
    <font>
      <sz val="11"/>
      <color rgb="FF7F7F7F"/>
      <name val="Calibri"/>
      <family val="2"/>
      <scheme val="minor"/>
    </font>
    <font>
      <sz val="11"/>
      <color rgb="FF0070C0"/>
      <name val="Calibri"/>
      <family val="2"/>
      <scheme val="minor"/>
    </font>
    <font>
      <sz val="11"/>
      <color rgb="FF000000"/>
      <name val="Calibri"/>
      <family val="2"/>
      <scheme val="minor"/>
    </font>
    <font>
      <b/>
      <sz val="13"/>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D9E1F2"/>
        <bgColor indexed="64"/>
      </patternFill>
    </fill>
    <fill>
      <patternFill patternType="solid">
        <fgColor rgb="FFFFF2CC"/>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30">
    <xf numFmtId="0" fontId="0" fillId="0" borderId="0" xfId="0"/>
    <xf numFmtId="0" fontId="1" fillId="2" borderId="1" xfId="0" applyFont="1" applyFill="1" applyBorder="1"/>
    <xf numFmtId="0" fontId="2" fillId="0" borderId="0" xfId="0" applyFont="1" applyAlignment="1">
      <alignment vertical="top" wrapText="1"/>
    </xf>
    <xf numFmtId="0" fontId="3" fillId="3" borderId="1" xfId="0" applyFont="1" applyFill="1" applyBorder="1" applyAlignment="1">
      <alignment vertical="top" wrapText="1"/>
    </xf>
    <xf numFmtId="0" fontId="0" fillId="0" borderId="1" xfId="0" applyBorder="1" applyAlignment="1">
      <alignment vertical="top" wrapText="1"/>
    </xf>
    <xf numFmtId="0" fontId="3" fillId="4" borderId="1" xfId="0" applyFont="1" applyFill="1" applyBorder="1" applyAlignment="1">
      <alignment vertical="top" wrapText="1"/>
    </xf>
    <xf numFmtId="164" fontId="4" fillId="0" borderId="1" xfId="0" applyNumberFormat="1" applyFont="1" applyBorder="1"/>
    <xf numFmtId="0" fontId="4" fillId="0" borderId="1" xfId="0" applyFont="1" applyBorder="1"/>
    <xf numFmtId="165" fontId="4" fillId="0" borderId="1" xfId="0" applyNumberFormat="1" applyFont="1" applyBorder="1"/>
    <xf numFmtId="0" fontId="0" fillId="0" borderId="1" xfId="0" applyBorder="1"/>
    <xf numFmtId="166" fontId="0" fillId="0" borderId="1" xfId="0" applyNumberFormat="1" applyBorder="1"/>
    <xf numFmtId="0" fontId="3" fillId="0" borderId="1" xfId="0" applyFont="1" applyBorder="1"/>
    <xf numFmtId="165" fontId="3" fillId="0" borderId="1" xfId="0" applyNumberFormat="1" applyFont="1" applyBorder="1"/>
    <xf numFmtId="167" fontId="5" fillId="0" borderId="1" xfId="0" applyNumberFormat="1" applyFont="1" applyBorder="1"/>
    <xf numFmtId="168" fontId="4" fillId="0" borderId="1" xfId="0" applyNumberFormat="1" applyFont="1" applyBorder="1"/>
    <xf numFmtId="168" fontId="6" fillId="0" borderId="1" xfId="0" applyNumberFormat="1" applyFont="1" applyBorder="1"/>
    <xf numFmtId="166" fontId="3" fillId="0" borderId="1" xfId="0" applyNumberFormat="1" applyFont="1" applyBorder="1"/>
    <xf numFmtId="165" fontId="6" fillId="0" borderId="1" xfId="0" applyNumberFormat="1" applyFont="1" applyBorder="1"/>
    <xf numFmtId="166" fontId="5" fillId="0" borderId="1" xfId="0" applyNumberFormat="1" applyFont="1" applyBorder="1"/>
    <xf numFmtId="166" fontId="7" fillId="5" borderId="2" xfId="0" applyNumberFormat="1" applyFont="1" applyFill="1" applyBorder="1"/>
    <xf numFmtId="165" fontId="0" fillId="0" borderId="1" xfId="0" applyNumberFormat="1" applyBorder="1"/>
    <xf numFmtId="169" fontId="0" fillId="0" borderId="1" xfId="0" applyNumberFormat="1" applyBorder="1"/>
    <xf numFmtId="166" fontId="8" fillId="0" borderId="1" xfId="0" applyNumberFormat="1" applyFont="1" applyBorder="1"/>
    <xf numFmtId="165" fontId="8" fillId="0" borderId="1" xfId="0" applyNumberFormat="1" applyFont="1" applyBorder="1"/>
    <xf numFmtId="169" fontId="8" fillId="0" borderId="1" xfId="0" applyNumberFormat="1" applyFont="1" applyBorder="1"/>
    <xf numFmtId="170" fontId="3" fillId="0" borderId="1" xfId="0" applyNumberFormat="1" applyFont="1" applyBorder="1"/>
    <xf numFmtId="170" fontId="8" fillId="0" borderId="1" xfId="0" applyNumberFormat="1" applyFont="1" applyBorder="1"/>
    <xf numFmtId="170" fontId="0" fillId="0" borderId="1" xfId="0" applyNumberFormat="1" applyBorder="1"/>
    <xf numFmtId="168" fontId="0" fillId="0" borderId="1" xfId="0" applyNumberFormat="1" applyBorder="1"/>
    <xf numFmtId="171" fontId="3" fillId="0" borderId="1"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ySplit="4" topLeftCell="A5" activePane="bottomLeft" state="frozen"/>
      <selection pane="bottomLeft"/>
    </sheetView>
  </sheetViews>
  <sheetFormatPr defaultRowHeight="15"/>
  <cols>
    <col min="1" max="1" width="32.7109375" customWidth="1"/>
    <col min="2" max="2" width="60.7109375" customWidth="1"/>
    <col min="3" max="3" width="92.7109375" customWidth="1"/>
  </cols>
  <sheetData>
    <row r="1" spans="1:10" ht="22" customHeight="1">
      <c r="A1" s="1" t="s">
        <v>0</v>
      </c>
      <c r="B1" s="1"/>
      <c r="C1" s="1"/>
      <c r="D1" s="1"/>
      <c r="E1" s="1"/>
      <c r="F1" s="1"/>
      <c r="G1" s="1"/>
      <c r="H1" s="1"/>
      <c r="I1" s="1"/>
      <c r="J1" s="1"/>
    </row>
    <row r="2" spans="1:10" ht="26" customHeight="1">
      <c r="A2" s="2" t="s">
        <v>1</v>
      </c>
      <c r="B2" s="2"/>
      <c r="C2" s="2"/>
      <c r="D2" s="2"/>
      <c r="E2" s="2"/>
      <c r="F2" s="2"/>
      <c r="G2" s="2"/>
      <c r="H2" s="2"/>
      <c r="I2" s="2"/>
      <c r="J2" s="2"/>
    </row>
    <row r="3" spans="1:10">
      <c r="A3" s="2"/>
      <c r="B3" s="2"/>
      <c r="C3" s="2"/>
      <c r="D3" s="2"/>
      <c r="E3" s="2"/>
      <c r="F3" s="2"/>
      <c r="G3" s="2"/>
      <c r="H3" s="2"/>
      <c r="I3" s="2"/>
      <c r="J3" s="2"/>
    </row>
    <row r="5" spans="1:10" ht="18" customHeight="1">
      <c r="A5" s="1" t="s">
        <v>2</v>
      </c>
      <c r="B5" s="1"/>
      <c r="C5" s="1"/>
    </row>
    <row r="6" spans="1:10" ht="44" customHeight="1">
      <c r="A6" s="3" t="s">
        <v>3</v>
      </c>
      <c r="B6" s="4" t="s">
        <v>4</v>
      </c>
      <c r="C6" s="4" t="s">
        <v>5</v>
      </c>
    </row>
    <row r="7" spans="1:10" ht="64" customHeight="1">
      <c r="A7" s="3" t="s">
        <v>6</v>
      </c>
      <c r="B7" s="4" t="s">
        <v>7</v>
      </c>
      <c r="C7" s="4" t="s">
        <v>8</v>
      </c>
    </row>
    <row r="8" spans="1:10" ht="44" customHeight="1">
      <c r="A8" s="3" t="s">
        <v>9</v>
      </c>
      <c r="B8" s="4" t="s">
        <v>10</v>
      </c>
      <c r="C8" s="4" t="s">
        <v>11</v>
      </c>
    </row>
    <row r="9" spans="1:10" ht="44" customHeight="1">
      <c r="A9" s="3" t="s">
        <v>12</v>
      </c>
      <c r="B9" s="4" t="s">
        <v>13</v>
      </c>
      <c r="C9" s="4" t="s">
        <v>14</v>
      </c>
    </row>
    <row r="10" spans="1:10" ht="44" customHeight="1">
      <c r="A10" s="3" t="s">
        <v>15</v>
      </c>
      <c r="B10" s="4" t="s">
        <v>16</v>
      </c>
      <c r="C10" s="4" t="s">
        <v>17</v>
      </c>
    </row>
    <row r="11" spans="1:10" ht="44" customHeight="1">
      <c r="A11" s="3" t="s">
        <v>18</v>
      </c>
      <c r="B11" s="4" t="s">
        <v>19</v>
      </c>
      <c r="C11" s="4" t="s">
        <v>20</v>
      </c>
    </row>
    <row r="12" spans="1:10" ht="18" customHeight="1">
      <c r="A12" s="1"/>
      <c r="B12" s="1"/>
      <c r="C12" s="1"/>
    </row>
    <row r="13" spans="1:10" ht="18" customHeight="1">
      <c r="A13" s="1" t="s">
        <v>21</v>
      </c>
      <c r="B13" s="1"/>
      <c r="C13" s="1"/>
    </row>
    <row r="14" spans="1:10" ht="120" customHeight="1">
      <c r="A14" s="3" t="s">
        <v>22</v>
      </c>
      <c r="B14" s="4" t="s">
        <v>23</v>
      </c>
      <c r="C14" s="4" t="s">
        <v>24</v>
      </c>
    </row>
    <row r="15" spans="1:10" ht="18" customHeight="1">
      <c r="A15" s="1"/>
      <c r="B15" s="1"/>
      <c r="C15" s="1"/>
    </row>
    <row r="16" spans="1:10" ht="44" customHeight="1">
      <c r="A16" s="3" t="s">
        <v>25</v>
      </c>
      <c r="B16" s="4" t="s">
        <v>26</v>
      </c>
      <c r="C16" s="4" t="s">
        <v>27</v>
      </c>
    </row>
    <row r="17" spans="1:3" ht="64" customHeight="1">
      <c r="A17" s="3" t="s">
        <v>28</v>
      </c>
      <c r="B17" s="4" t="s">
        <v>29</v>
      </c>
      <c r="C17" s="4" t="s">
        <v>30</v>
      </c>
    </row>
    <row r="18" spans="1:3" ht="44" customHeight="1">
      <c r="A18" s="3" t="s">
        <v>31</v>
      </c>
      <c r="B18" s="4" t="s">
        <v>32</v>
      </c>
      <c r="C18" s="4" t="s">
        <v>33</v>
      </c>
    </row>
    <row r="19" spans="1:3" ht="44" customHeight="1">
      <c r="A19" s="3" t="s">
        <v>34</v>
      </c>
      <c r="B19" s="4" t="s">
        <v>35</v>
      </c>
      <c r="C19" s="4" t="s">
        <v>36</v>
      </c>
    </row>
    <row r="20" spans="1:3" ht="44" customHeight="1">
      <c r="A20" s="3" t="s">
        <v>37</v>
      </c>
      <c r="B20" s="4" t="s">
        <v>38</v>
      </c>
      <c r="C20" s="4" t="s">
        <v>39</v>
      </c>
    </row>
    <row r="21" spans="1:3" ht="64" customHeight="1">
      <c r="A21" s="3" t="s">
        <v>40</v>
      </c>
      <c r="B21" s="4" t="s">
        <v>41</v>
      </c>
      <c r="C21" s="4" t="s">
        <v>42</v>
      </c>
    </row>
    <row r="22" spans="1:3" ht="18" customHeight="1">
      <c r="A22" s="1"/>
      <c r="B22" s="1"/>
      <c r="C22" s="1"/>
    </row>
    <row r="23" spans="1:3" ht="18" customHeight="1">
      <c r="A23" s="1" t="s">
        <v>43</v>
      </c>
      <c r="B23" s="1"/>
      <c r="C23" s="1"/>
    </row>
    <row r="24" spans="1:3" ht="44" customHeight="1">
      <c r="A24" s="3" t="s">
        <v>44</v>
      </c>
      <c r="B24" s="4" t="s">
        <v>45</v>
      </c>
      <c r="C24" s="4" t="s">
        <v>46</v>
      </c>
    </row>
    <row r="25" spans="1:3" ht="44" customHeight="1">
      <c r="A25" s="3" t="s">
        <v>47</v>
      </c>
      <c r="B25" s="4" t="s">
        <v>48</v>
      </c>
      <c r="C25" s="4" t="s">
        <v>49</v>
      </c>
    </row>
    <row r="26" spans="1:3" ht="44" customHeight="1">
      <c r="A26" s="3" t="s">
        <v>50</v>
      </c>
      <c r="B26" s="4" t="s">
        <v>51</v>
      </c>
      <c r="C26" s="4" t="s">
        <v>52</v>
      </c>
    </row>
    <row r="27" spans="1:3" ht="64" customHeight="1">
      <c r="A27" s="3" t="s">
        <v>53</v>
      </c>
      <c r="B27" s="4" t="s">
        <v>54</v>
      </c>
      <c r="C27" s="4" t="s">
        <v>55</v>
      </c>
    </row>
    <row r="28" spans="1:3" ht="18" customHeight="1">
      <c r="A28" s="1"/>
      <c r="B28" s="1"/>
      <c r="C28" s="1"/>
    </row>
    <row r="29" spans="1:3" ht="18" customHeight="1">
      <c r="A29" s="1" t="s">
        <v>56</v>
      </c>
      <c r="B29" s="1"/>
      <c r="C29" s="1"/>
    </row>
    <row r="30" spans="1:3" ht="64" customHeight="1">
      <c r="A30" s="3" t="s">
        <v>57</v>
      </c>
      <c r="B30" s="4" t="s">
        <v>58</v>
      </c>
      <c r="C30" s="4" t="s">
        <v>59</v>
      </c>
    </row>
    <row r="31" spans="1:3" ht="64" customHeight="1">
      <c r="A31" s="3" t="s">
        <v>60</v>
      </c>
      <c r="B31" s="4" t="s">
        <v>61</v>
      </c>
      <c r="C31" s="4" t="s">
        <v>62</v>
      </c>
    </row>
    <row r="32" spans="1:3" ht="44" customHeight="1">
      <c r="A32" s="3" t="s">
        <v>63</v>
      </c>
      <c r="B32" s="4" t="s">
        <v>64</v>
      </c>
      <c r="C32" s="4" t="s">
        <v>65</v>
      </c>
    </row>
  </sheetData>
  <mergeCells count="2">
    <mergeCell ref="A1:J1"/>
    <mergeCell ref="A2:J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47"/>
  <sheetViews>
    <sheetView workbookViewId="0">
      <pane ySplit="4" topLeftCell="A5" activePane="bottomLeft" state="frozen"/>
      <selection pane="bottomLeft"/>
    </sheetView>
  </sheetViews>
  <sheetFormatPr defaultRowHeight="15"/>
  <cols>
    <col min="1" max="1" width="13.7109375" customWidth="1"/>
    <col min="2" max="2" width="16.7109375" customWidth="1"/>
    <col min="3" max="3" width="7.7109375" customWidth="1"/>
    <col min="4" max="4" width="14.7109375" customWidth="1"/>
    <col min="5" max="5" width="20.7109375" customWidth="1"/>
    <col min="6" max="6" width="22.7109375" customWidth="1"/>
  </cols>
  <sheetData>
    <row r="1" spans="1:10" ht="22" customHeight="1">
      <c r="A1" s="1" t="s">
        <v>66</v>
      </c>
      <c r="B1" s="1"/>
      <c r="C1" s="1"/>
      <c r="D1" s="1"/>
      <c r="E1" s="1"/>
      <c r="F1" s="1"/>
      <c r="G1" s="1"/>
      <c r="H1" s="1"/>
      <c r="I1" s="1"/>
      <c r="J1" s="1"/>
    </row>
    <row r="2" spans="1:10" ht="26" customHeight="1">
      <c r="A2" s="2" t="s">
        <v>67</v>
      </c>
      <c r="B2" s="2"/>
      <c r="C2" s="2"/>
      <c r="D2" s="2"/>
      <c r="E2" s="2"/>
      <c r="F2" s="2"/>
      <c r="G2" s="2"/>
      <c r="H2" s="2"/>
      <c r="I2" s="2"/>
      <c r="J2" s="2"/>
    </row>
    <row r="3" spans="1:10">
      <c r="A3" s="2"/>
      <c r="B3" s="2"/>
      <c r="C3" s="2"/>
      <c r="D3" s="2"/>
      <c r="E3" s="2"/>
      <c r="F3" s="2"/>
      <c r="G3" s="2"/>
      <c r="H3" s="2"/>
      <c r="I3" s="2"/>
      <c r="J3" s="2"/>
    </row>
    <row r="5" spans="1:10">
      <c r="A5" s="5" t="s">
        <v>68</v>
      </c>
      <c r="B5" s="5" t="s">
        <v>69</v>
      </c>
      <c r="C5" s="5" t="s">
        <v>70</v>
      </c>
      <c r="D5" s="5" t="s">
        <v>71</v>
      </c>
      <c r="E5" s="5" t="s">
        <v>72</v>
      </c>
      <c r="F5" s="5" t="s">
        <v>73</v>
      </c>
    </row>
    <row r="6" spans="1:10">
      <c r="A6" s="6">
        <v>44197</v>
      </c>
      <c r="B6" s="7" t="s">
        <v>74</v>
      </c>
      <c r="C6" s="7">
        <v>1</v>
      </c>
      <c r="D6" s="8">
        <v>0.1225104280014953</v>
      </c>
      <c r="E6" s="9">
        <f>IF(D6&gt;0.2000001,"BREACH","ok")</f>
        <v>0</v>
      </c>
      <c r="F6" s="10">
        <f>D6*NAV!$B$3</f>
        <v>0</v>
      </c>
    </row>
    <row r="7" spans="1:10">
      <c r="A7" s="6">
        <v>44197</v>
      </c>
      <c r="B7" s="7" t="s">
        <v>75</v>
      </c>
      <c r="C7" s="7">
        <v>2</v>
      </c>
      <c r="D7" s="8">
        <v>0.11459349325596</v>
      </c>
      <c r="E7" s="9">
        <f>IF(D7&gt;0.2000001,"BREACH","ok")</f>
        <v>0</v>
      </c>
      <c r="F7" s="10">
        <f>D7*NAV!$B$3</f>
        <v>0</v>
      </c>
    </row>
    <row r="8" spans="1:10">
      <c r="A8" s="6">
        <v>44197</v>
      </c>
      <c r="B8" s="7" t="s">
        <v>76</v>
      </c>
      <c r="C8" s="7">
        <v>3</v>
      </c>
      <c r="D8" s="8">
        <v>0.1143246028888794</v>
      </c>
      <c r="E8" s="9">
        <f>IF(D8&gt;0.2000001,"BREACH","ok")</f>
        <v>0</v>
      </c>
      <c r="F8" s="10">
        <f>D8*NAV!$B$3</f>
        <v>0</v>
      </c>
    </row>
    <row r="9" spans="1:10">
      <c r="A9" s="6">
        <v>44197</v>
      </c>
      <c r="B9" s="7" t="s">
        <v>77</v>
      </c>
      <c r="C9" s="7">
        <v>4</v>
      </c>
      <c r="D9" s="8">
        <v>0.1065545620632882</v>
      </c>
      <c r="E9" s="9">
        <f>IF(D9&gt;0.2000001,"BREACH","ok")</f>
        <v>0</v>
      </c>
      <c r="F9" s="10">
        <f>D9*NAV!$B$3</f>
        <v>0</v>
      </c>
    </row>
    <row r="10" spans="1:10">
      <c r="A10" s="6">
        <v>44197</v>
      </c>
      <c r="B10" s="7" t="s">
        <v>78</v>
      </c>
      <c r="C10" s="7">
        <v>5</v>
      </c>
      <c r="D10" s="8">
        <v>0.1034531495426032</v>
      </c>
      <c r="E10" s="9">
        <f>IF(D10&gt;0.2000001,"BREACH","ok")</f>
        <v>0</v>
      </c>
      <c r="F10" s="10">
        <f>D10*NAV!$B$3</f>
        <v>0</v>
      </c>
    </row>
    <row r="11" spans="1:10">
      <c r="A11" s="6">
        <v>44197</v>
      </c>
      <c r="B11" s="7" t="s">
        <v>79</v>
      </c>
      <c r="C11" s="7">
        <v>6</v>
      </c>
      <c r="D11" s="8">
        <v>0.1028588626693603</v>
      </c>
      <c r="E11" s="9">
        <f>IF(D11&gt;0.2000001,"BREACH","ok")</f>
        <v>0</v>
      </c>
      <c r="F11" s="10">
        <f>D11*NAV!$B$3</f>
        <v>0</v>
      </c>
    </row>
    <row r="12" spans="1:10">
      <c r="A12" s="6">
        <v>44197</v>
      </c>
      <c r="B12" s="7" t="s">
        <v>80</v>
      </c>
      <c r="C12" s="7">
        <v>7</v>
      </c>
      <c r="D12" s="8">
        <v>0.09421796329020082</v>
      </c>
      <c r="E12" s="9">
        <f>IF(D12&gt;0.2000001,"BREACH","ok")</f>
        <v>0</v>
      </c>
      <c r="F12" s="10">
        <f>D12*NAV!$B$3</f>
        <v>0</v>
      </c>
    </row>
    <row r="13" spans="1:10">
      <c r="A13" s="6">
        <v>44197</v>
      </c>
      <c r="B13" s="7" t="s">
        <v>81</v>
      </c>
      <c r="C13" s="7">
        <v>8</v>
      </c>
      <c r="D13" s="8">
        <v>0.08389102446456968</v>
      </c>
      <c r="E13" s="9">
        <f>IF(D13&gt;0.2000001,"BREACH","ok")</f>
        <v>0</v>
      </c>
      <c r="F13" s="10">
        <f>D13*NAV!$B$3</f>
        <v>0</v>
      </c>
    </row>
    <row r="14" spans="1:10">
      <c r="A14" s="6">
        <v>44197</v>
      </c>
      <c r="B14" s="7" t="s">
        <v>82</v>
      </c>
      <c r="C14" s="7">
        <v>9</v>
      </c>
      <c r="D14" s="8">
        <v>0.07922797798551497</v>
      </c>
      <c r="E14" s="9">
        <f>IF(D14&gt;0.2000001,"BREACH","ok")</f>
        <v>0</v>
      </c>
      <c r="F14" s="10">
        <f>D14*NAV!$B$3</f>
        <v>0</v>
      </c>
    </row>
    <row r="15" spans="1:10">
      <c r="A15" s="6">
        <v>44197</v>
      </c>
      <c r="B15" s="7" t="s">
        <v>83</v>
      </c>
      <c r="C15" s="7">
        <v>10</v>
      </c>
      <c r="D15" s="8">
        <v>0.07836793583812832</v>
      </c>
      <c r="E15" s="9">
        <f>IF(D15&gt;0.2000001,"BREACH","ok")</f>
        <v>0</v>
      </c>
      <c r="F15" s="10">
        <f>D15*NAV!$B$3</f>
        <v>0</v>
      </c>
    </row>
    <row r="16" spans="1:10">
      <c r="B16" s="3" t="s">
        <v>84</v>
      </c>
      <c r="C16" s="11">
        <f>COUNT(C6:C15)</f>
        <v>0</v>
      </c>
      <c r="D16" s="12">
        <f>SUM(D6:D15)</f>
        <v>0</v>
      </c>
      <c r="E16" s="11">
        <f>IF(AND(ABS(D16-1)&lt;0.0001,C16&lt;=10),"PASS","FAIL")</f>
        <v>0</v>
      </c>
    </row>
    <row r="18" spans="1:6">
      <c r="A18" s="6">
        <v>44287</v>
      </c>
      <c r="B18" s="7" t="s">
        <v>76</v>
      </c>
      <c r="C18" s="7">
        <v>1</v>
      </c>
      <c r="D18" s="8">
        <v>0.130300075200345</v>
      </c>
      <c r="E18" s="9">
        <f>IF(D18&gt;0.2000001,"BREACH","ok")</f>
        <v>0</v>
      </c>
      <c r="F18" s="10">
        <f>D18*NAV!$B$3</f>
        <v>0</v>
      </c>
    </row>
    <row r="19" spans="1:6">
      <c r="A19" s="6">
        <v>44287</v>
      </c>
      <c r="B19" s="7" t="s">
        <v>85</v>
      </c>
      <c r="C19" s="7">
        <v>2</v>
      </c>
      <c r="D19" s="8">
        <v>0.1138282080631628</v>
      </c>
      <c r="E19" s="9">
        <f>IF(D19&gt;0.2000001,"BREACH","ok")</f>
        <v>0</v>
      </c>
      <c r="F19" s="10">
        <f>D19*NAV!$B$3</f>
        <v>0</v>
      </c>
    </row>
    <row r="20" spans="1:6">
      <c r="A20" s="6">
        <v>44287</v>
      </c>
      <c r="B20" s="7" t="s">
        <v>86</v>
      </c>
      <c r="C20" s="7">
        <v>3</v>
      </c>
      <c r="D20" s="8">
        <v>0.1060836374863594</v>
      </c>
      <c r="E20" s="9">
        <f>IF(D20&gt;0.2000001,"BREACH","ok")</f>
        <v>0</v>
      </c>
      <c r="F20" s="10">
        <f>D20*NAV!$B$3</f>
        <v>0</v>
      </c>
    </row>
    <row r="21" spans="1:6">
      <c r="A21" s="6">
        <v>44287</v>
      </c>
      <c r="B21" s="7" t="s">
        <v>79</v>
      </c>
      <c r="C21" s="7">
        <v>4</v>
      </c>
      <c r="D21" s="8">
        <v>0.1042985295976487</v>
      </c>
      <c r="E21" s="9">
        <f>IF(D21&gt;0.2000001,"BREACH","ok")</f>
        <v>0</v>
      </c>
      <c r="F21" s="10">
        <f>D21*NAV!$B$3</f>
        <v>0</v>
      </c>
    </row>
    <row r="22" spans="1:6">
      <c r="A22" s="6">
        <v>44287</v>
      </c>
      <c r="B22" s="7" t="s">
        <v>80</v>
      </c>
      <c r="C22" s="7">
        <v>5</v>
      </c>
      <c r="D22" s="8">
        <v>0.1001548004857778</v>
      </c>
      <c r="E22" s="9">
        <f>IF(D22&gt;0.2000001,"BREACH","ok")</f>
        <v>0</v>
      </c>
      <c r="F22" s="10">
        <f>D22*NAV!$B$3</f>
        <v>0</v>
      </c>
    </row>
    <row r="23" spans="1:6">
      <c r="A23" s="6">
        <v>44287</v>
      </c>
      <c r="B23" s="7" t="s">
        <v>87</v>
      </c>
      <c r="C23" s="7">
        <v>6</v>
      </c>
      <c r="D23" s="8">
        <v>0.09077927177574716</v>
      </c>
      <c r="E23" s="9">
        <f>IF(D23&gt;0.2000001,"BREACH","ok")</f>
        <v>0</v>
      </c>
      <c r="F23" s="10">
        <f>D23*NAV!$B$3</f>
        <v>0</v>
      </c>
    </row>
    <row r="24" spans="1:6">
      <c r="A24" s="6">
        <v>44287</v>
      </c>
      <c r="B24" s="7" t="s">
        <v>88</v>
      </c>
      <c r="C24" s="7">
        <v>7</v>
      </c>
      <c r="D24" s="8">
        <v>0.09032955313392274</v>
      </c>
      <c r="E24" s="9">
        <f>IF(D24&gt;0.2000001,"BREACH","ok")</f>
        <v>0</v>
      </c>
      <c r="F24" s="10">
        <f>D24*NAV!$B$3</f>
        <v>0</v>
      </c>
    </row>
    <row r="25" spans="1:6">
      <c r="A25" s="6">
        <v>44287</v>
      </c>
      <c r="B25" s="7" t="s">
        <v>89</v>
      </c>
      <c r="C25" s="7">
        <v>8</v>
      </c>
      <c r="D25" s="8">
        <v>0.0900525614198638</v>
      </c>
      <c r="E25" s="9">
        <f>IF(D25&gt;0.2000001,"BREACH","ok")</f>
        <v>0</v>
      </c>
      <c r="F25" s="10">
        <f>D25*NAV!$B$3</f>
        <v>0</v>
      </c>
    </row>
    <row r="26" spans="1:6">
      <c r="A26" s="6">
        <v>44287</v>
      </c>
      <c r="B26" s="7" t="s">
        <v>90</v>
      </c>
      <c r="C26" s="7">
        <v>9</v>
      </c>
      <c r="D26" s="8">
        <v>0.08840334084683492</v>
      </c>
      <c r="E26" s="9">
        <f>IF(D26&gt;0.2000001,"BREACH","ok")</f>
        <v>0</v>
      </c>
      <c r="F26" s="10">
        <f>D26*NAV!$B$3</f>
        <v>0</v>
      </c>
    </row>
    <row r="27" spans="1:6">
      <c r="A27" s="6">
        <v>44287</v>
      </c>
      <c r="B27" s="7" t="s">
        <v>91</v>
      </c>
      <c r="C27" s="7">
        <v>10</v>
      </c>
      <c r="D27" s="8">
        <v>0.0857700219903378</v>
      </c>
      <c r="E27" s="9">
        <f>IF(D27&gt;0.2000001,"BREACH","ok")</f>
        <v>0</v>
      </c>
      <c r="F27" s="10">
        <f>D27*NAV!$B$3</f>
        <v>0</v>
      </c>
    </row>
    <row r="28" spans="1:6">
      <c r="B28" s="3" t="s">
        <v>84</v>
      </c>
      <c r="C28" s="11">
        <f>COUNT(C18:C27)</f>
        <v>0</v>
      </c>
      <c r="D28" s="12">
        <f>SUM(D18:D27)</f>
        <v>0</v>
      </c>
      <c r="E28" s="11">
        <f>IF(AND(ABS(D28-1)&lt;0.0001,C28&lt;=10),"PASS","FAIL")</f>
        <v>0</v>
      </c>
    </row>
    <row r="30" spans="1:6">
      <c r="A30" s="6">
        <v>44378</v>
      </c>
      <c r="B30" s="7" t="s">
        <v>76</v>
      </c>
      <c r="C30" s="7">
        <v>1</v>
      </c>
      <c r="D30" s="8">
        <v>0.1329937331415589</v>
      </c>
      <c r="E30" s="9">
        <f>IF(D30&gt;0.2000001,"BREACH","ok")</f>
        <v>0</v>
      </c>
      <c r="F30" s="10">
        <f>D30*NAV!$B$3</f>
        <v>0</v>
      </c>
    </row>
    <row r="31" spans="1:6">
      <c r="A31" s="6">
        <v>44378</v>
      </c>
      <c r="B31" s="7" t="s">
        <v>92</v>
      </c>
      <c r="C31" s="7">
        <v>2</v>
      </c>
      <c r="D31" s="8">
        <v>0.126127859771679</v>
      </c>
      <c r="E31" s="9">
        <f>IF(D31&gt;0.2000001,"BREACH","ok")</f>
        <v>0</v>
      </c>
      <c r="F31" s="10">
        <f>D31*NAV!$B$3</f>
        <v>0</v>
      </c>
    </row>
    <row r="32" spans="1:6">
      <c r="A32" s="6">
        <v>44378</v>
      </c>
      <c r="B32" s="7" t="s">
        <v>93</v>
      </c>
      <c r="C32" s="7">
        <v>3</v>
      </c>
      <c r="D32" s="8">
        <v>0.1135720856880356</v>
      </c>
      <c r="E32" s="9">
        <f>IF(D32&gt;0.2000001,"BREACH","ok")</f>
        <v>0</v>
      </c>
      <c r="F32" s="10">
        <f>D32*NAV!$B$3</f>
        <v>0</v>
      </c>
    </row>
    <row r="33" spans="1:6">
      <c r="A33" s="6">
        <v>44378</v>
      </c>
      <c r="B33" s="7" t="s">
        <v>85</v>
      </c>
      <c r="C33" s="7">
        <v>4</v>
      </c>
      <c r="D33" s="8">
        <v>0.1070571943684982</v>
      </c>
      <c r="E33" s="9">
        <f>IF(D33&gt;0.2000001,"BREACH","ok")</f>
        <v>0</v>
      </c>
      <c r="F33" s="10">
        <f>D33*NAV!$B$3</f>
        <v>0</v>
      </c>
    </row>
    <row r="34" spans="1:6">
      <c r="A34" s="6">
        <v>44378</v>
      </c>
      <c r="B34" s="7" t="s">
        <v>94</v>
      </c>
      <c r="C34" s="7">
        <v>5</v>
      </c>
      <c r="D34" s="8">
        <v>0.09967935401538655</v>
      </c>
      <c r="E34" s="9">
        <f>IF(D34&gt;0.2000001,"BREACH","ok")</f>
        <v>0</v>
      </c>
      <c r="F34" s="10">
        <f>D34*NAV!$B$3</f>
        <v>0</v>
      </c>
    </row>
    <row r="35" spans="1:6">
      <c r="A35" s="6">
        <v>44378</v>
      </c>
      <c r="B35" s="7" t="s">
        <v>86</v>
      </c>
      <c r="C35" s="7">
        <v>6</v>
      </c>
      <c r="D35" s="8">
        <v>0.09321907166576494</v>
      </c>
      <c r="E35" s="9">
        <f>IF(D35&gt;0.2000001,"BREACH","ok")</f>
        <v>0</v>
      </c>
      <c r="F35" s="10">
        <f>D35*NAV!$B$3</f>
        <v>0</v>
      </c>
    </row>
    <row r="36" spans="1:6">
      <c r="A36" s="6">
        <v>44378</v>
      </c>
      <c r="B36" s="7" t="s">
        <v>95</v>
      </c>
      <c r="C36" s="7">
        <v>7</v>
      </c>
      <c r="D36" s="8">
        <v>0.08707382486945364</v>
      </c>
      <c r="E36" s="9">
        <f>IF(D36&gt;0.2000001,"BREACH","ok")</f>
        <v>0</v>
      </c>
      <c r="F36" s="10">
        <f>D36*NAV!$B$3</f>
        <v>0</v>
      </c>
    </row>
    <row r="37" spans="1:6">
      <c r="A37" s="6">
        <v>44378</v>
      </c>
      <c r="B37" s="7" t="s">
        <v>87</v>
      </c>
      <c r="C37" s="7">
        <v>8</v>
      </c>
      <c r="D37" s="8">
        <v>0.08207349955132062</v>
      </c>
      <c r="E37" s="9">
        <f>IF(D37&gt;0.2000001,"BREACH","ok")</f>
        <v>0</v>
      </c>
      <c r="F37" s="10">
        <f>D37*NAV!$B$3</f>
        <v>0</v>
      </c>
    </row>
    <row r="38" spans="1:6">
      <c r="A38" s="6">
        <v>44378</v>
      </c>
      <c r="B38" s="7" t="s">
        <v>80</v>
      </c>
      <c r="C38" s="7">
        <v>9</v>
      </c>
      <c r="D38" s="8">
        <v>0.0819453865910274</v>
      </c>
      <c r="E38" s="9">
        <f>IF(D38&gt;0.2000001,"BREACH","ok")</f>
        <v>0</v>
      </c>
      <c r="F38" s="10">
        <f>D38*NAV!$B$3</f>
        <v>0</v>
      </c>
    </row>
    <row r="39" spans="1:6">
      <c r="A39" s="6">
        <v>44378</v>
      </c>
      <c r="B39" s="7" t="s">
        <v>90</v>
      </c>
      <c r="C39" s="7">
        <v>10</v>
      </c>
      <c r="D39" s="8">
        <v>0.07625799033727519</v>
      </c>
      <c r="E39" s="9">
        <f>IF(D39&gt;0.2000001,"BREACH","ok")</f>
        <v>0</v>
      </c>
      <c r="F39" s="10">
        <f>D39*NAV!$B$3</f>
        <v>0</v>
      </c>
    </row>
    <row r="40" spans="1:6">
      <c r="B40" s="3" t="s">
        <v>84</v>
      </c>
      <c r="C40" s="11">
        <f>COUNT(C30:C39)</f>
        <v>0</v>
      </c>
      <c r="D40" s="12">
        <f>SUM(D30:D39)</f>
        <v>0</v>
      </c>
      <c r="E40" s="11">
        <f>IF(AND(ABS(D40-1)&lt;0.0001,C40&lt;=10),"PASS","FAIL")</f>
        <v>0</v>
      </c>
    </row>
    <row r="42" spans="1:6">
      <c r="A42" s="6">
        <v>44470</v>
      </c>
      <c r="B42" s="7" t="s">
        <v>93</v>
      </c>
      <c r="C42" s="7">
        <v>1</v>
      </c>
      <c r="D42" s="8">
        <v>0.1244636309703621</v>
      </c>
      <c r="E42" s="9">
        <f>IF(D42&gt;0.2000001,"BREACH","ok")</f>
        <v>0</v>
      </c>
      <c r="F42" s="10">
        <f>D42*NAV!$B$3</f>
        <v>0</v>
      </c>
    </row>
    <row r="43" spans="1:6">
      <c r="A43" s="6">
        <v>44470</v>
      </c>
      <c r="B43" s="7" t="s">
        <v>96</v>
      </c>
      <c r="C43" s="7">
        <v>2</v>
      </c>
      <c r="D43" s="8">
        <v>0.1206875171807369</v>
      </c>
      <c r="E43" s="9">
        <f>IF(D43&gt;0.2000001,"BREACH","ok")</f>
        <v>0</v>
      </c>
      <c r="F43" s="10">
        <f>D43*NAV!$B$3</f>
        <v>0</v>
      </c>
    </row>
    <row r="44" spans="1:6">
      <c r="A44" s="6">
        <v>44470</v>
      </c>
      <c r="B44" s="7" t="s">
        <v>97</v>
      </c>
      <c r="C44" s="7">
        <v>3</v>
      </c>
      <c r="D44" s="8">
        <v>0.1162907239545029</v>
      </c>
      <c r="E44" s="9">
        <f>IF(D44&gt;0.2000001,"BREACH","ok")</f>
        <v>0</v>
      </c>
      <c r="F44" s="10">
        <f>D44*NAV!$B$3</f>
        <v>0</v>
      </c>
    </row>
    <row r="45" spans="1:6">
      <c r="A45" s="6">
        <v>44470</v>
      </c>
      <c r="B45" s="7" t="s">
        <v>95</v>
      </c>
      <c r="C45" s="7">
        <v>4</v>
      </c>
      <c r="D45" s="8">
        <v>0.1012777847098012</v>
      </c>
      <c r="E45" s="9">
        <f>IF(D45&gt;0.2000001,"BREACH","ok")</f>
        <v>0</v>
      </c>
      <c r="F45" s="10">
        <f>D45*NAV!$B$3</f>
        <v>0</v>
      </c>
    </row>
    <row r="46" spans="1:6">
      <c r="A46" s="6">
        <v>44470</v>
      </c>
      <c r="B46" s="7" t="s">
        <v>98</v>
      </c>
      <c r="C46" s="7">
        <v>5</v>
      </c>
      <c r="D46" s="8">
        <v>0.09568964759123338</v>
      </c>
      <c r="E46" s="9">
        <f>IF(D46&gt;0.2000001,"BREACH","ok")</f>
        <v>0</v>
      </c>
      <c r="F46" s="10">
        <f>D46*NAV!$B$3</f>
        <v>0</v>
      </c>
    </row>
    <row r="47" spans="1:6">
      <c r="A47" s="6">
        <v>44470</v>
      </c>
      <c r="B47" s="7" t="s">
        <v>99</v>
      </c>
      <c r="C47" s="7">
        <v>6</v>
      </c>
      <c r="D47" s="8">
        <v>0.09380758688338144</v>
      </c>
      <c r="E47" s="9">
        <f>IF(D47&gt;0.2000001,"BREACH","ok")</f>
        <v>0</v>
      </c>
      <c r="F47" s="10">
        <f>D47*NAV!$B$3</f>
        <v>0</v>
      </c>
    </row>
    <row r="48" spans="1:6">
      <c r="A48" s="6">
        <v>44470</v>
      </c>
      <c r="B48" s="7" t="s">
        <v>86</v>
      </c>
      <c r="C48" s="7">
        <v>7</v>
      </c>
      <c r="D48" s="8">
        <v>0.09070747066284823</v>
      </c>
      <c r="E48" s="9">
        <f>IF(D48&gt;0.2000001,"BREACH","ok")</f>
        <v>0</v>
      </c>
      <c r="F48" s="10">
        <f>D48*NAV!$B$3</f>
        <v>0</v>
      </c>
    </row>
    <row r="49" spans="1:6">
      <c r="A49" s="6">
        <v>44470</v>
      </c>
      <c r="B49" s="7" t="s">
        <v>100</v>
      </c>
      <c r="C49" s="7">
        <v>8</v>
      </c>
      <c r="D49" s="8">
        <v>0.08823173035090641</v>
      </c>
      <c r="E49" s="9">
        <f>IF(D49&gt;0.2000001,"BREACH","ok")</f>
        <v>0</v>
      </c>
      <c r="F49" s="10">
        <f>D49*NAV!$B$3</f>
        <v>0</v>
      </c>
    </row>
    <row r="50" spans="1:6">
      <c r="A50" s="6">
        <v>44470</v>
      </c>
      <c r="B50" s="7" t="s">
        <v>101</v>
      </c>
      <c r="C50" s="7">
        <v>9</v>
      </c>
      <c r="D50" s="8">
        <v>0.08457925150650077</v>
      </c>
      <c r="E50" s="9">
        <f>IF(D50&gt;0.2000001,"BREACH","ok")</f>
        <v>0</v>
      </c>
      <c r="F50" s="10">
        <f>D50*NAV!$B$3</f>
        <v>0</v>
      </c>
    </row>
    <row r="51" spans="1:6">
      <c r="A51" s="6">
        <v>44470</v>
      </c>
      <c r="B51" s="7" t="s">
        <v>102</v>
      </c>
      <c r="C51" s="7">
        <v>10</v>
      </c>
      <c r="D51" s="8">
        <v>0.0842646561897267</v>
      </c>
      <c r="E51" s="9">
        <f>IF(D51&gt;0.2000001,"BREACH","ok")</f>
        <v>0</v>
      </c>
      <c r="F51" s="10">
        <f>D51*NAV!$B$3</f>
        <v>0</v>
      </c>
    </row>
    <row r="52" spans="1:6">
      <c r="B52" s="3" t="s">
        <v>84</v>
      </c>
      <c r="C52" s="11">
        <f>COUNT(C42:C51)</f>
        <v>0</v>
      </c>
      <c r="D52" s="12">
        <f>SUM(D42:D51)</f>
        <v>0</v>
      </c>
      <c r="E52" s="11">
        <f>IF(AND(ABS(D52-1)&lt;0.0001,C52&lt;=10),"PASS","FAIL")</f>
        <v>0</v>
      </c>
    </row>
    <row r="54" spans="1:6">
      <c r="A54" s="6">
        <v>44564</v>
      </c>
      <c r="B54" s="7" t="s">
        <v>103</v>
      </c>
      <c r="C54" s="7">
        <v>1</v>
      </c>
      <c r="D54" s="8">
        <v>0.1267150502889868</v>
      </c>
      <c r="E54" s="9">
        <f>IF(D54&gt;0.2000001,"BREACH","ok")</f>
        <v>0</v>
      </c>
      <c r="F54" s="10">
        <f>D54*NAV!$B$3</f>
        <v>0</v>
      </c>
    </row>
    <row r="55" spans="1:6">
      <c r="A55" s="6">
        <v>44564</v>
      </c>
      <c r="B55" s="7" t="s">
        <v>104</v>
      </c>
      <c r="C55" s="7">
        <v>2</v>
      </c>
      <c r="D55" s="8">
        <v>0.1202438841105026</v>
      </c>
      <c r="E55" s="9">
        <f>IF(D55&gt;0.2000001,"BREACH","ok")</f>
        <v>0</v>
      </c>
      <c r="F55" s="10">
        <f>D55*NAV!$B$3</f>
        <v>0</v>
      </c>
    </row>
    <row r="56" spans="1:6">
      <c r="A56" s="6">
        <v>44564</v>
      </c>
      <c r="B56" s="7" t="s">
        <v>105</v>
      </c>
      <c r="C56" s="7">
        <v>3</v>
      </c>
      <c r="D56" s="8">
        <v>0.1118734972415148</v>
      </c>
      <c r="E56" s="9">
        <f>IF(D56&gt;0.2000001,"BREACH","ok")</f>
        <v>0</v>
      </c>
      <c r="F56" s="10">
        <f>D56*NAV!$B$3</f>
        <v>0</v>
      </c>
    </row>
    <row r="57" spans="1:6">
      <c r="A57" s="6">
        <v>44564</v>
      </c>
      <c r="B57" s="7" t="s">
        <v>106</v>
      </c>
      <c r="C57" s="7">
        <v>4</v>
      </c>
      <c r="D57" s="8">
        <v>0.1073903317928258</v>
      </c>
      <c r="E57" s="9">
        <f>IF(D57&gt;0.2000001,"BREACH","ok")</f>
        <v>0</v>
      </c>
      <c r="F57" s="10">
        <f>D57*NAV!$B$3</f>
        <v>0</v>
      </c>
    </row>
    <row r="58" spans="1:6">
      <c r="A58" s="6">
        <v>44564</v>
      </c>
      <c r="B58" s="7" t="s">
        <v>107</v>
      </c>
      <c r="C58" s="7">
        <v>5</v>
      </c>
      <c r="D58" s="8">
        <v>0.1040148895309201</v>
      </c>
      <c r="E58" s="9">
        <f>IF(D58&gt;0.2000001,"BREACH","ok")</f>
        <v>0</v>
      </c>
      <c r="F58" s="10">
        <f>D58*NAV!$B$3</f>
        <v>0</v>
      </c>
    </row>
    <row r="59" spans="1:6">
      <c r="A59" s="6">
        <v>44564</v>
      </c>
      <c r="B59" s="7" t="s">
        <v>77</v>
      </c>
      <c r="C59" s="7">
        <v>6</v>
      </c>
      <c r="D59" s="8">
        <v>0.09754445662573553</v>
      </c>
      <c r="E59" s="9">
        <f>IF(D59&gt;0.2000001,"BREACH","ok")</f>
        <v>0</v>
      </c>
      <c r="F59" s="10">
        <f>D59*NAV!$B$3</f>
        <v>0</v>
      </c>
    </row>
    <row r="60" spans="1:6">
      <c r="A60" s="6">
        <v>44564</v>
      </c>
      <c r="B60" s="7" t="s">
        <v>108</v>
      </c>
      <c r="C60" s="7">
        <v>7</v>
      </c>
      <c r="D60" s="8">
        <v>0.08526435240993893</v>
      </c>
      <c r="E60" s="9">
        <f>IF(D60&gt;0.2000001,"BREACH","ok")</f>
        <v>0</v>
      </c>
      <c r="F60" s="10">
        <f>D60*NAV!$B$3</f>
        <v>0</v>
      </c>
    </row>
    <row r="61" spans="1:6">
      <c r="A61" s="6">
        <v>44564</v>
      </c>
      <c r="B61" s="7" t="s">
        <v>101</v>
      </c>
      <c r="C61" s="7">
        <v>8</v>
      </c>
      <c r="D61" s="8">
        <v>0.08361146777466671</v>
      </c>
      <c r="E61" s="9">
        <f>IF(D61&gt;0.2000001,"BREACH","ok")</f>
        <v>0</v>
      </c>
      <c r="F61" s="10">
        <f>D61*NAV!$B$3</f>
        <v>0</v>
      </c>
    </row>
    <row r="62" spans="1:6">
      <c r="A62" s="6">
        <v>44564</v>
      </c>
      <c r="B62" s="7" t="s">
        <v>102</v>
      </c>
      <c r="C62" s="7">
        <v>9</v>
      </c>
      <c r="D62" s="8">
        <v>0.08290673613822244</v>
      </c>
      <c r="E62" s="9">
        <f>IF(D62&gt;0.2000001,"BREACH","ok")</f>
        <v>0</v>
      </c>
      <c r="F62" s="10">
        <f>D62*NAV!$B$3</f>
        <v>0</v>
      </c>
    </row>
    <row r="63" spans="1:6">
      <c r="A63" s="6">
        <v>44564</v>
      </c>
      <c r="B63" s="7" t="s">
        <v>109</v>
      </c>
      <c r="C63" s="7">
        <v>10</v>
      </c>
      <c r="D63" s="8">
        <v>0.08043533408668621</v>
      </c>
      <c r="E63" s="9">
        <f>IF(D63&gt;0.2000001,"BREACH","ok")</f>
        <v>0</v>
      </c>
      <c r="F63" s="10">
        <f>D63*NAV!$B$3</f>
        <v>0</v>
      </c>
    </row>
    <row r="64" spans="1:6">
      <c r="B64" s="3" t="s">
        <v>84</v>
      </c>
      <c r="C64" s="11">
        <f>COUNT(C54:C63)</f>
        <v>0</v>
      </c>
      <c r="D64" s="12">
        <f>SUM(D54:D63)</f>
        <v>0</v>
      </c>
      <c r="E64" s="11">
        <f>IF(AND(ABS(D64-1)&lt;0.0001,C64&lt;=10),"PASS","FAIL")</f>
        <v>0</v>
      </c>
    </row>
    <row r="66" spans="1:6">
      <c r="A66" s="6">
        <v>44652</v>
      </c>
      <c r="B66" s="7" t="s">
        <v>110</v>
      </c>
      <c r="C66" s="7">
        <v>1</v>
      </c>
      <c r="D66" s="8">
        <v>0.1224632556409163</v>
      </c>
      <c r="E66" s="9">
        <f>IF(D66&gt;0.2000001,"BREACH","ok")</f>
        <v>0</v>
      </c>
      <c r="F66" s="10">
        <f>D66*NAV!$B$3</f>
        <v>0</v>
      </c>
    </row>
    <row r="67" spans="1:6">
      <c r="A67" s="6">
        <v>44652</v>
      </c>
      <c r="B67" s="7" t="s">
        <v>111</v>
      </c>
      <c r="C67" s="7">
        <v>2</v>
      </c>
      <c r="D67" s="8">
        <v>0.122259896125712</v>
      </c>
      <c r="E67" s="9">
        <f>IF(D67&gt;0.2000001,"BREACH","ok")</f>
        <v>0</v>
      </c>
      <c r="F67" s="10">
        <f>D67*NAV!$B$3</f>
        <v>0</v>
      </c>
    </row>
    <row r="68" spans="1:6">
      <c r="A68" s="6">
        <v>44652</v>
      </c>
      <c r="B68" s="7" t="s">
        <v>112</v>
      </c>
      <c r="C68" s="7">
        <v>3</v>
      </c>
      <c r="D68" s="8">
        <v>0.1139296168932324</v>
      </c>
      <c r="E68" s="9">
        <f>IF(D68&gt;0.2000001,"BREACH","ok")</f>
        <v>0</v>
      </c>
      <c r="F68" s="10">
        <f>D68*NAV!$B$3</f>
        <v>0</v>
      </c>
    </row>
    <row r="69" spans="1:6">
      <c r="A69" s="6">
        <v>44652</v>
      </c>
      <c r="B69" s="7" t="s">
        <v>113</v>
      </c>
      <c r="C69" s="7">
        <v>4</v>
      </c>
      <c r="D69" s="8">
        <v>0.1041127377891171</v>
      </c>
      <c r="E69" s="9">
        <f>IF(D69&gt;0.2000001,"BREACH","ok")</f>
        <v>0</v>
      </c>
      <c r="F69" s="10">
        <f>D69*NAV!$B$3</f>
        <v>0</v>
      </c>
    </row>
    <row r="70" spans="1:6">
      <c r="A70" s="6">
        <v>44652</v>
      </c>
      <c r="B70" s="7" t="s">
        <v>114</v>
      </c>
      <c r="C70" s="7">
        <v>5</v>
      </c>
      <c r="D70" s="8">
        <v>0.103050380204808</v>
      </c>
      <c r="E70" s="9">
        <f>IF(D70&gt;0.2000001,"BREACH","ok")</f>
        <v>0</v>
      </c>
      <c r="F70" s="10">
        <f>D70*NAV!$B$3</f>
        <v>0</v>
      </c>
    </row>
    <row r="71" spans="1:6">
      <c r="A71" s="6">
        <v>44652</v>
      </c>
      <c r="B71" s="7" t="s">
        <v>115</v>
      </c>
      <c r="C71" s="7">
        <v>6</v>
      </c>
      <c r="D71" s="8">
        <v>0.09882856288105003</v>
      </c>
      <c r="E71" s="9">
        <f>IF(D71&gt;0.2000001,"BREACH","ok")</f>
        <v>0</v>
      </c>
      <c r="F71" s="10">
        <f>D71*NAV!$B$3</f>
        <v>0</v>
      </c>
    </row>
    <row r="72" spans="1:6">
      <c r="A72" s="6">
        <v>44652</v>
      </c>
      <c r="B72" s="7" t="s">
        <v>105</v>
      </c>
      <c r="C72" s="7">
        <v>7</v>
      </c>
      <c r="D72" s="8">
        <v>0.08801326345950373</v>
      </c>
      <c r="E72" s="9">
        <f>IF(D72&gt;0.2000001,"BREACH","ok")</f>
        <v>0</v>
      </c>
      <c r="F72" s="10">
        <f>D72*NAV!$B$3</f>
        <v>0</v>
      </c>
    </row>
    <row r="73" spans="1:6">
      <c r="A73" s="6">
        <v>44652</v>
      </c>
      <c r="B73" s="7" t="s">
        <v>95</v>
      </c>
      <c r="C73" s="7">
        <v>8</v>
      </c>
      <c r="D73" s="8">
        <v>0.08789186702842607</v>
      </c>
      <c r="E73" s="9">
        <f>IF(D73&gt;0.2000001,"BREACH","ok")</f>
        <v>0</v>
      </c>
      <c r="F73" s="10">
        <f>D73*NAV!$B$3</f>
        <v>0</v>
      </c>
    </row>
    <row r="74" spans="1:6">
      <c r="A74" s="6">
        <v>44652</v>
      </c>
      <c r="B74" s="7" t="s">
        <v>97</v>
      </c>
      <c r="C74" s="7">
        <v>9</v>
      </c>
      <c r="D74" s="8">
        <v>0.08520152448866188</v>
      </c>
      <c r="E74" s="9">
        <f>IF(D74&gt;0.2000001,"BREACH","ok")</f>
        <v>0</v>
      </c>
      <c r="F74" s="10">
        <f>D74*NAV!$B$3</f>
        <v>0</v>
      </c>
    </row>
    <row r="75" spans="1:6">
      <c r="A75" s="6">
        <v>44652</v>
      </c>
      <c r="B75" s="7" t="s">
        <v>101</v>
      </c>
      <c r="C75" s="7">
        <v>10</v>
      </c>
      <c r="D75" s="8">
        <v>0.07424889548857257</v>
      </c>
      <c r="E75" s="9">
        <f>IF(D75&gt;0.2000001,"BREACH","ok")</f>
        <v>0</v>
      </c>
      <c r="F75" s="10">
        <f>D75*NAV!$B$3</f>
        <v>0</v>
      </c>
    </row>
    <row r="76" spans="1:6">
      <c r="B76" s="3" t="s">
        <v>84</v>
      </c>
      <c r="C76" s="11">
        <f>COUNT(C66:C75)</f>
        <v>0</v>
      </c>
      <c r="D76" s="12">
        <f>SUM(D66:D75)</f>
        <v>0</v>
      </c>
      <c r="E76" s="11">
        <f>IF(AND(ABS(D76-1)&lt;0.0001,C76&lt;=10),"PASS","FAIL")</f>
        <v>0</v>
      </c>
    </row>
    <row r="78" spans="1:6">
      <c r="A78" s="6">
        <v>44743</v>
      </c>
      <c r="B78" s="7" t="s">
        <v>116</v>
      </c>
      <c r="C78" s="7">
        <v>1</v>
      </c>
      <c r="D78" s="8">
        <v>0.1335289918153605</v>
      </c>
      <c r="E78" s="9">
        <f>IF(D78&gt;0.2000001,"BREACH","ok")</f>
        <v>0</v>
      </c>
      <c r="F78" s="10">
        <f>D78*NAV!$B$3</f>
        <v>0</v>
      </c>
    </row>
    <row r="79" spans="1:6">
      <c r="A79" s="6">
        <v>44743</v>
      </c>
      <c r="B79" s="7" t="s">
        <v>112</v>
      </c>
      <c r="C79" s="7">
        <v>2</v>
      </c>
      <c r="D79" s="8">
        <v>0.1235462482403906</v>
      </c>
      <c r="E79" s="9">
        <f>IF(D79&gt;0.2000001,"BREACH","ok")</f>
        <v>0</v>
      </c>
      <c r="F79" s="10">
        <f>D79*NAV!$B$3</f>
        <v>0</v>
      </c>
    </row>
    <row r="80" spans="1:6">
      <c r="A80" s="6">
        <v>44743</v>
      </c>
      <c r="B80" s="7" t="s">
        <v>113</v>
      </c>
      <c r="C80" s="7">
        <v>3</v>
      </c>
      <c r="D80" s="8">
        <v>0.1076462449492858</v>
      </c>
      <c r="E80" s="9">
        <f>IF(D80&gt;0.2000001,"BREACH","ok")</f>
        <v>0</v>
      </c>
      <c r="F80" s="10">
        <f>D80*NAV!$B$3</f>
        <v>0</v>
      </c>
    </row>
    <row r="81" spans="1:6">
      <c r="A81" s="6">
        <v>44743</v>
      </c>
      <c r="B81" s="7" t="s">
        <v>117</v>
      </c>
      <c r="C81" s="7">
        <v>4</v>
      </c>
      <c r="D81" s="8">
        <v>0.1005744175530364</v>
      </c>
      <c r="E81" s="9">
        <f>IF(D81&gt;0.2000001,"BREACH","ok")</f>
        <v>0</v>
      </c>
      <c r="F81" s="10">
        <f>D81*NAV!$B$3</f>
        <v>0</v>
      </c>
    </row>
    <row r="82" spans="1:6">
      <c r="A82" s="6">
        <v>44743</v>
      </c>
      <c r="B82" s="7" t="s">
        <v>118</v>
      </c>
      <c r="C82" s="7">
        <v>5</v>
      </c>
      <c r="D82" s="8">
        <v>0.09690143700961315</v>
      </c>
      <c r="E82" s="9">
        <f>IF(D82&gt;0.2000001,"BREACH","ok")</f>
        <v>0</v>
      </c>
      <c r="F82" s="10">
        <f>D82*NAV!$B$3</f>
        <v>0</v>
      </c>
    </row>
    <row r="83" spans="1:6">
      <c r="A83" s="6">
        <v>44743</v>
      </c>
      <c r="B83" s="7" t="s">
        <v>119</v>
      </c>
      <c r="C83" s="7">
        <v>6</v>
      </c>
      <c r="D83" s="8">
        <v>0.09507203585659912</v>
      </c>
      <c r="E83" s="9">
        <f>IF(D83&gt;0.2000001,"BREACH","ok")</f>
        <v>0</v>
      </c>
      <c r="F83" s="10">
        <f>D83*NAV!$B$3</f>
        <v>0</v>
      </c>
    </row>
    <row r="84" spans="1:6">
      <c r="A84" s="6">
        <v>44743</v>
      </c>
      <c r="B84" s="7" t="s">
        <v>115</v>
      </c>
      <c r="C84" s="7">
        <v>7</v>
      </c>
      <c r="D84" s="8">
        <v>0.09480818726831017</v>
      </c>
      <c r="E84" s="9">
        <f>IF(D84&gt;0.2000001,"BREACH","ok")</f>
        <v>0</v>
      </c>
      <c r="F84" s="10">
        <f>D84*NAV!$B$3</f>
        <v>0</v>
      </c>
    </row>
    <row r="85" spans="1:6">
      <c r="A85" s="6">
        <v>44743</v>
      </c>
      <c r="B85" s="7" t="s">
        <v>120</v>
      </c>
      <c r="C85" s="7">
        <v>8</v>
      </c>
      <c r="D85" s="8">
        <v>0.09209324688760248</v>
      </c>
      <c r="E85" s="9">
        <f>IF(D85&gt;0.2000001,"BREACH","ok")</f>
        <v>0</v>
      </c>
      <c r="F85" s="10">
        <f>D85*NAV!$B$3</f>
        <v>0</v>
      </c>
    </row>
    <row r="86" spans="1:6">
      <c r="A86" s="6">
        <v>44743</v>
      </c>
      <c r="B86" s="7" t="s">
        <v>121</v>
      </c>
      <c r="C86" s="7">
        <v>9</v>
      </c>
      <c r="D86" s="8">
        <v>0.07926434570563204</v>
      </c>
      <c r="E86" s="9">
        <f>IF(D86&gt;0.2000001,"BREACH","ok")</f>
        <v>0</v>
      </c>
      <c r="F86" s="10">
        <f>D86*NAV!$B$3</f>
        <v>0</v>
      </c>
    </row>
    <row r="87" spans="1:6">
      <c r="A87" s="6">
        <v>44743</v>
      </c>
      <c r="B87" s="7" t="s">
        <v>122</v>
      </c>
      <c r="C87" s="7">
        <v>10</v>
      </c>
      <c r="D87" s="8">
        <v>0.07656484471416949</v>
      </c>
      <c r="E87" s="9">
        <f>IF(D87&gt;0.2000001,"BREACH","ok")</f>
        <v>0</v>
      </c>
      <c r="F87" s="10">
        <f>D87*NAV!$B$3</f>
        <v>0</v>
      </c>
    </row>
    <row r="88" spans="1:6">
      <c r="B88" s="3" t="s">
        <v>84</v>
      </c>
      <c r="C88" s="11">
        <f>COUNT(C78:C87)</f>
        <v>0</v>
      </c>
      <c r="D88" s="12">
        <f>SUM(D78:D87)</f>
        <v>0</v>
      </c>
      <c r="E88" s="11">
        <f>IF(AND(ABS(D88-1)&lt;0.0001,C88&lt;=10),"PASS","FAIL")</f>
        <v>0</v>
      </c>
    </row>
    <row r="90" spans="1:6">
      <c r="A90" s="6">
        <v>44837</v>
      </c>
      <c r="B90" s="7" t="s">
        <v>116</v>
      </c>
      <c r="C90" s="7">
        <v>1</v>
      </c>
      <c r="D90" s="8">
        <v>0.1313869408972232</v>
      </c>
      <c r="E90" s="9">
        <f>IF(D90&gt;0.2000001,"BREACH","ok")</f>
        <v>0</v>
      </c>
      <c r="F90" s="10">
        <f>D90*NAV!$B$3</f>
        <v>0</v>
      </c>
    </row>
    <row r="91" spans="1:6">
      <c r="A91" s="6">
        <v>44837</v>
      </c>
      <c r="B91" s="7" t="s">
        <v>112</v>
      </c>
      <c r="C91" s="7">
        <v>2</v>
      </c>
      <c r="D91" s="8">
        <v>0.1143209700900563</v>
      </c>
      <c r="E91" s="9">
        <f>IF(D91&gt;0.2000001,"BREACH","ok")</f>
        <v>0</v>
      </c>
      <c r="F91" s="10">
        <f>D91*NAV!$B$3</f>
        <v>0</v>
      </c>
    </row>
    <row r="92" spans="1:6">
      <c r="A92" s="6">
        <v>44837</v>
      </c>
      <c r="B92" s="7" t="s">
        <v>123</v>
      </c>
      <c r="C92" s="7">
        <v>3</v>
      </c>
      <c r="D92" s="8">
        <v>0.1106863566046841</v>
      </c>
      <c r="E92" s="9">
        <f>IF(D92&gt;0.2000001,"BREACH","ok")</f>
        <v>0</v>
      </c>
      <c r="F92" s="10">
        <f>D92*NAV!$B$3</f>
        <v>0</v>
      </c>
    </row>
    <row r="93" spans="1:6">
      <c r="A93" s="6">
        <v>44837</v>
      </c>
      <c r="B93" s="7" t="s">
        <v>113</v>
      </c>
      <c r="C93" s="7">
        <v>4</v>
      </c>
      <c r="D93" s="8">
        <v>0.1050311367131778</v>
      </c>
      <c r="E93" s="9">
        <f>IF(D93&gt;0.2000001,"BREACH","ok")</f>
        <v>0</v>
      </c>
      <c r="F93" s="10">
        <f>D93*NAV!$B$3</f>
        <v>0</v>
      </c>
    </row>
    <row r="94" spans="1:6">
      <c r="A94" s="6">
        <v>44837</v>
      </c>
      <c r="B94" s="7" t="s">
        <v>117</v>
      </c>
      <c r="C94" s="7">
        <v>5</v>
      </c>
      <c r="D94" s="8">
        <v>0.09599017938318878</v>
      </c>
      <c r="E94" s="9">
        <f>IF(D94&gt;0.2000001,"BREACH","ok")</f>
        <v>0</v>
      </c>
      <c r="F94" s="10">
        <f>D94*NAV!$B$3</f>
        <v>0</v>
      </c>
    </row>
    <row r="95" spans="1:6">
      <c r="A95" s="6">
        <v>44837</v>
      </c>
      <c r="B95" s="7" t="s">
        <v>119</v>
      </c>
      <c r="C95" s="7">
        <v>6</v>
      </c>
      <c r="D95" s="8">
        <v>0.09480520547225635</v>
      </c>
      <c r="E95" s="9">
        <f>IF(D95&gt;0.2000001,"BREACH","ok")</f>
        <v>0</v>
      </c>
      <c r="F95" s="10">
        <f>D95*NAV!$B$3</f>
        <v>0</v>
      </c>
    </row>
    <row r="96" spans="1:6">
      <c r="A96" s="6">
        <v>44837</v>
      </c>
      <c r="B96" s="7" t="s">
        <v>115</v>
      </c>
      <c r="C96" s="7">
        <v>7</v>
      </c>
      <c r="D96" s="8">
        <v>0.09046285822245853</v>
      </c>
      <c r="E96" s="9">
        <f>IF(D96&gt;0.2000001,"BREACH","ok")</f>
        <v>0</v>
      </c>
      <c r="F96" s="10">
        <f>D96*NAV!$B$3</f>
        <v>0</v>
      </c>
    </row>
    <row r="97" spans="1:6">
      <c r="A97" s="6">
        <v>44837</v>
      </c>
      <c r="B97" s="7" t="s">
        <v>118</v>
      </c>
      <c r="C97" s="7">
        <v>8</v>
      </c>
      <c r="D97" s="8">
        <v>0.0902416459670789</v>
      </c>
      <c r="E97" s="9">
        <f>IF(D97&gt;0.2000001,"BREACH","ok")</f>
        <v>0</v>
      </c>
      <c r="F97" s="10">
        <f>D97*NAV!$B$3</f>
        <v>0</v>
      </c>
    </row>
    <row r="98" spans="1:6">
      <c r="A98" s="6">
        <v>44837</v>
      </c>
      <c r="B98" s="7" t="s">
        <v>124</v>
      </c>
      <c r="C98" s="7">
        <v>9</v>
      </c>
      <c r="D98" s="8">
        <v>0.0842312442543791</v>
      </c>
      <c r="E98" s="9">
        <f>IF(D98&gt;0.2000001,"BREACH","ok")</f>
        <v>0</v>
      </c>
      <c r="F98" s="10">
        <f>D98*NAV!$B$3</f>
        <v>0</v>
      </c>
    </row>
    <row r="99" spans="1:6">
      <c r="A99" s="6">
        <v>44837</v>
      </c>
      <c r="B99" s="7" t="s">
        <v>120</v>
      </c>
      <c r="C99" s="7">
        <v>10</v>
      </c>
      <c r="D99" s="8">
        <v>0.08284346239549698</v>
      </c>
      <c r="E99" s="9">
        <f>IF(D99&gt;0.2000001,"BREACH","ok")</f>
        <v>0</v>
      </c>
      <c r="F99" s="10">
        <f>D99*NAV!$B$3</f>
        <v>0</v>
      </c>
    </row>
    <row r="100" spans="1:6">
      <c r="B100" s="3" t="s">
        <v>84</v>
      </c>
      <c r="C100" s="11">
        <f>COUNT(C90:C99)</f>
        <v>0</v>
      </c>
      <c r="D100" s="12">
        <f>SUM(D90:D99)</f>
        <v>0</v>
      </c>
      <c r="E100" s="11">
        <f>IF(AND(ABS(D100-1)&lt;0.0001,C100&lt;=10),"PASS","FAIL")</f>
        <v>0</v>
      </c>
    </row>
    <row r="102" spans="1:6">
      <c r="A102" s="6">
        <v>44928</v>
      </c>
      <c r="B102" s="7" t="s">
        <v>116</v>
      </c>
      <c r="C102" s="7">
        <v>1</v>
      </c>
      <c r="D102" s="8">
        <v>0.150142823487227</v>
      </c>
      <c r="E102" s="9">
        <f>IF(D102&gt;0.2000001,"BREACH","ok")</f>
        <v>0</v>
      </c>
      <c r="F102" s="10">
        <f>D102*NAV!$B$3</f>
        <v>0</v>
      </c>
    </row>
    <row r="103" spans="1:6">
      <c r="A103" s="6">
        <v>44928</v>
      </c>
      <c r="B103" s="7" t="s">
        <v>111</v>
      </c>
      <c r="C103" s="7">
        <v>2</v>
      </c>
      <c r="D103" s="8">
        <v>0.1357513983887475</v>
      </c>
      <c r="E103" s="9">
        <f>IF(D103&gt;0.2000001,"BREACH","ok")</f>
        <v>0</v>
      </c>
      <c r="F103" s="10">
        <f>D103*NAV!$B$3</f>
        <v>0</v>
      </c>
    </row>
    <row r="104" spans="1:6">
      <c r="A104" s="6">
        <v>44928</v>
      </c>
      <c r="B104" s="7" t="s">
        <v>125</v>
      </c>
      <c r="C104" s="7">
        <v>3</v>
      </c>
      <c r="D104" s="8">
        <v>0.1137855251790773</v>
      </c>
      <c r="E104" s="9">
        <f>IF(D104&gt;0.2000001,"BREACH","ok")</f>
        <v>0</v>
      </c>
      <c r="F104" s="10">
        <f>D104*NAV!$B$3</f>
        <v>0</v>
      </c>
    </row>
    <row r="105" spans="1:6">
      <c r="A105" s="6">
        <v>44928</v>
      </c>
      <c r="B105" s="7" t="s">
        <v>126</v>
      </c>
      <c r="C105" s="7">
        <v>4</v>
      </c>
      <c r="D105" s="8">
        <v>0.09290344405555163</v>
      </c>
      <c r="E105" s="9">
        <f>IF(D105&gt;0.2000001,"BREACH","ok")</f>
        <v>0</v>
      </c>
      <c r="F105" s="10">
        <f>D105*NAV!$B$3</f>
        <v>0</v>
      </c>
    </row>
    <row r="106" spans="1:6">
      <c r="A106" s="6">
        <v>44928</v>
      </c>
      <c r="B106" s="7" t="s">
        <v>119</v>
      </c>
      <c r="C106" s="7">
        <v>5</v>
      </c>
      <c r="D106" s="8">
        <v>0.09110318614286414</v>
      </c>
      <c r="E106" s="9">
        <f>IF(D106&gt;0.2000001,"BREACH","ok")</f>
        <v>0</v>
      </c>
      <c r="F106" s="10">
        <f>D106*NAV!$B$3</f>
        <v>0</v>
      </c>
    </row>
    <row r="107" spans="1:6">
      <c r="A107" s="6">
        <v>44928</v>
      </c>
      <c r="B107" s="7" t="s">
        <v>127</v>
      </c>
      <c r="C107" s="7">
        <v>6</v>
      </c>
      <c r="D107" s="8">
        <v>0.09056901247494756</v>
      </c>
      <c r="E107" s="9">
        <f>IF(D107&gt;0.2000001,"BREACH","ok")</f>
        <v>0</v>
      </c>
      <c r="F107" s="10">
        <f>D107*NAV!$B$3</f>
        <v>0</v>
      </c>
    </row>
    <row r="108" spans="1:6">
      <c r="A108" s="6">
        <v>44928</v>
      </c>
      <c r="B108" s="7" t="s">
        <v>128</v>
      </c>
      <c r="C108" s="7">
        <v>7</v>
      </c>
      <c r="D108" s="8">
        <v>0.08748149977979346</v>
      </c>
      <c r="E108" s="9">
        <f>IF(D108&gt;0.2000001,"BREACH","ok")</f>
        <v>0</v>
      </c>
      <c r="F108" s="10">
        <f>D108*NAV!$B$3</f>
        <v>0</v>
      </c>
    </row>
    <row r="109" spans="1:6">
      <c r="A109" s="6">
        <v>44928</v>
      </c>
      <c r="B109" s="7" t="s">
        <v>124</v>
      </c>
      <c r="C109" s="7">
        <v>8</v>
      </c>
      <c r="D109" s="8">
        <v>0.0839758140591378</v>
      </c>
      <c r="E109" s="9">
        <f>IF(D109&gt;0.2000001,"BREACH","ok")</f>
        <v>0</v>
      </c>
      <c r="F109" s="10">
        <f>D109*NAV!$B$3</f>
        <v>0</v>
      </c>
    </row>
    <row r="110" spans="1:6">
      <c r="A110" s="6">
        <v>44928</v>
      </c>
      <c r="B110" s="7" t="s">
        <v>129</v>
      </c>
      <c r="C110" s="7">
        <v>9</v>
      </c>
      <c r="D110" s="8">
        <v>0.07785448577570396</v>
      </c>
      <c r="E110" s="9">
        <f>IF(D110&gt;0.2000001,"BREACH","ok")</f>
        <v>0</v>
      </c>
      <c r="F110" s="10">
        <f>D110*NAV!$B$3</f>
        <v>0</v>
      </c>
    </row>
    <row r="111" spans="1:6">
      <c r="A111" s="6">
        <v>44928</v>
      </c>
      <c r="B111" s="7" t="s">
        <v>120</v>
      </c>
      <c r="C111" s="7">
        <v>10</v>
      </c>
      <c r="D111" s="8">
        <v>0.07643281065694965</v>
      </c>
      <c r="E111" s="9">
        <f>IF(D111&gt;0.2000001,"BREACH","ok")</f>
        <v>0</v>
      </c>
      <c r="F111" s="10">
        <f>D111*NAV!$B$3</f>
        <v>0</v>
      </c>
    </row>
    <row r="112" spans="1:6">
      <c r="B112" s="3" t="s">
        <v>84</v>
      </c>
      <c r="C112" s="11">
        <f>COUNT(C102:C111)</f>
        <v>0</v>
      </c>
      <c r="D112" s="12">
        <f>SUM(D102:D111)</f>
        <v>0</v>
      </c>
      <c r="E112" s="11">
        <f>IF(AND(ABS(D112-1)&lt;0.0001,C112&lt;=10),"PASS","FAIL")</f>
        <v>0</v>
      </c>
    </row>
    <row r="114" spans="1:6">
      <c r="A114" s="6">
        <v>45019</v>
      </c>
      <c r="B114" s="7" t="s">
        <v>116</v>
      </c>
      <c r="C114" s="7">
        <v>1</v>
      </c>
      <c r="D114" s="8">
        <v>0.132176299578243</v>
      </c>
      <c r="E114" s="9">
        <f>IF(D114&gt;0.2000001,"BREACH","ok")</f>
        <v>0</v>
      </c>
      <c r="F114" s="10">
        <f>D114*NAV!$B$3</f>
        <v>0</v>
      </c>
    </row>
    <row r="115" spans="1:6">
      <c r="A115" s="6">
        <v>45019</v>
      </c>
      <c r="B115" s="7" t="s">
        <v>130</v>
      </c>
      <c r="C115" s="7">
        <v>2</v>
      </c>
      <c r="D115" s="8">
        <v>0.1191698910836256</v>
      </c>
      <c r="E115" s="9">
        <f>IF(D115&gt;0.2000001,"BREACH","ok")</f>
        <v>0</v>
      </c>
      <c r="F115" s="10">
        <f>D115*NAV!$B$3</f>
        <v>0</v>
      </c>
    </row>
    <row r="116" spans="1:6">
      <c r="A116" s="6">
        <v>45019</v>
      </c>
      <c r="B116" s="7" t="s">
        <v>131</v>
      </c>
      <c r="C116" s="7">
        <v>3</v>
      </c>
      <c r="D116" s="8">
        <v>0.1110288531380779</v>
      </c>
      <c r="E116" s="9">
        <f>IF(D116&gt;0.2000001,"BREACH","ok")</f>
        <v>0</v>
      </c>
      <c r="F116" s="10">
        <f>D116*NAV!$B$3</f>
        <v>0</v>
      </c>
    </row>
    <row r="117" spans="1:6">
      <c r="A117" s="6">
        <v>45019</v>
      </c>
      <c r="B117" s="7" t="s">
        <v>123</v>
      </c>
      <c r="C117" s="7">
        <v>4</v>
      </c>
      <c r="D117" s="8">
        <v>0.1054290438339917</v>
      </c>
      <c r="E117" s="9">
        <f>IF(D117&gt;0.2000001,"BREACH","ok")</f>
        <v>0</v>
      </c>
      <c r="F117" s="10">
        <f>D117*NAV!$B$3</f>
        <v>0</v>
      </c>
    </row>
    <row r="118" spans="1:6">
      <c r="A118" s="6">
        <v>45019</v>
      </c>
      <c r="B118" s="7" t="s">
        <v>132</v>
      </c>
      <c r="C118" s="7">
        <v>5</v>
      </c>
      <c r="D118" s="8">
        <v>0.1018990302753455</v>
      </c>
      <c r="E118" s="9">
        <f>IF(D118&gt;0.2000001,"BREACH","ok")</f>
        <v>0</v>
      </c>
      <c r="F118" s="10">
        <f>D118*NAV!$B$3</f>
        <v>0</v>
      </c>
    </row>
    <row r="119" spans="1:6">
      <c r="A119" s="6">
        <v>45019</v>
      </c>
      <c r="B119" s="7" t="s">
        <v>125</v>
      </c>
      <c r="C119" s="7">
        <v>6</v>
      </c>
      <c r="D119" s="8">
        <v>0.101483632277403</v>
      </c>
      <c r="E119" s="9">
        <f>IF(D119&gt;0.2000001,"BREACH","ok")</f>
        <v>0</v>
      </c>
      <c r="F119" s="10">
        <f>D119*NAV!$B$3</f>
        <v>0</v>
      </c>
    </row>
    <row r="120" spans="1:6">
      <c r="A120" s="6">
        <v>45019</v>
      </c>
      <c r="B120" s="7" t="s">
        <v>133</v>
      </c>
      <c r="C120" s="7">
        <v>7</v>
      </c>
      <c r="D120" s="8">
        <v>0.09259742094114058</v>
      </c>
      <c r="E120" s="9">
        <f>IF(D120&gt;0.2000001,"BREACH","ok")</f>
        <v>0</v>
      </c>
      <c r="F120" s="10">
        <f>D120*NAV!$B$3</f>
        <v>0</v>
      </c>
    </row>
    <row r="121" spans="1:6">
      <c r="A121" s="6">
        <v>45019</v>
      </c>
      <c r="B121" s="7" t="s">
        <v>118</v>
      </c>
      <c r="C121" s="7">
        <v>8</v>
      </c>
      <c r="D121" s="8">
        <v>0.08317497104564225</v>
      </c>
      <c r="E121" s="9">
        <f>IF(D121&gt;0.2000001,"BREACH","ok")</f>
        <v>0</v>
      </c>
      <c r="F121" s="10">
        <f>D121*NAV!$B$3</f>
        <v>0</v>
      </c>
    </row>
    <row r="122" spans="1:6">
      <c r="A122" s="6">
        <v>45019</v>
      </c>
      <c r="B122" s="7" t="s">
        <v>134</v>
      </c>
      <c r="C122" s="7">
        <v>9</v>
      </c>
      <c r="D122" s="8">
        <v>0.07675785714023946</v>
      </c>
      <c r="E122" s="9">
        <f>IF(D122&gt;0.2000001,"BREACH","ok")</f>
        <v>0</v>
      </c>
      <c r="F122" s="10">
        <f>D122*NAV!$B$3</f>
        <v>0</v>
      </c>
    </row>
    <row r="123" spans="1:6">
      <c r="A123" s="6">
        <v>45019</v>
      </c>
      <c r="B123" s="7" t="s">
        <v>119</v>
      </c>
      <c r="C123" s="7">
        <v>10</v>
      </c>
      <c r="D123" s="8">
        <v>0.07628300068629099</v>
      </c>
      <c r="E123" s="9">
        <f>IF(D123&gt;0.2000001,"BREACH","ok")</f>
        <v>0</v>
      </c>
      <c r="F123" s="10">
        <f>D123*NAV!$B$3</f>
        <v>0</v>
      </c>
    </row>
    <row r="124" spans="1:6">
      <c r="B124" s="3" t="s">
        <v>84</v>
      </c>
      <c r="C124" s="11">
        <f>COUNT(C114:C123)</f>
        <v>0</v>
      </c>
      <c r="D124" s="12">
        <f>SUM(D114:D123)</f>
        <v>0</v>
      </c>
      <c r="E124" s="11">
        <f>IF(AND(ABS(D124-1)&lt;0.0001,C124&lt;=10),"PASS","FAIL")</f>
        <v>0</v>
      </c>
    </row>
    <row r="126" spans="1:6">
      <c r="A126" s="6">
        <v>45110</v>
      </c>
      <c r="B126" s="7" t="s">
        <v>116</v>
      </c>
      <c r="C126" s="7">
        <v>1</v>
      </c>
      <c r="D126" s="8">
        <v>0.1459092264573159</v>
      </c>
      <c r="E126" s="9">
        <f>IF(D126&gt;0.2000001,"BREACH","ok")</f>
        <v>0</v>
      </c>
      <c r="F126" s="10">
        <f>D126*NAV!$B$3</f>
        <v>0</v>
      </c>
    </row>
    <row r="127" spans="1:6">
      <c r="A127" s="6">
        <v>45110</v>
      </c>
      <c r="B127" s="7" t="s">
        <v>123</v>
      </c>
      <c r="C127" s="7">
        <v>2</v>
      </c>
      <c r="D127" s="8">
        <v>0.1055656100883919</v>
      </c>
      <c r="E127" s="9">
        <f>IF(D127&gt;0.2000001,"BREACH","ok")</f>
        <v>0</v>
      </c>
      <c r="F127" s="10">
        <f>D127*NAV!$B$3</f>
        <v>0</v>
      </c>
    </row>
    <row r="128" spans="1:6">
      <c r="A128" s="6">
        <v>45110</v>
      </c>
      <c r="B128" s="7" t="s">
        <v>107</v>
      </c>
      <c r="C128" s="7">
        <v>3</v>
      </c>
      <c r="D128" s="8">
        <v>0.1038467694067931</v>
      </c>
      <c r="E128" s="9">
        <f>IF(D128&gt;0.2000001,"BREACH","ok")</f>
        <v>0</v>
      </c>
      <c r="F128" s="10">
        <f>D128*NAV!$B$3</f>
        <v>0</v>
      </c>
    </row>
    <row r="129" spans="1:6">
      <c r="A129" s="6">
        <v>45110</v>
      </c>
      <c r="B129" s="7" t="s">
        <v>135</v>
      </c>
      <c r="C129" s="7">
        <v>4</v>
      </c>
      <c r="D129" s="8">
        <v>0.1011819871203915</v>
      </c>
      <c r="E129" s="9">
        <f>IF(D129&gt;0.2000001,"BREACH","ok")</f>
        <v>0</v>
      </c>
      <c r="F129" s="10">
        <f>D129*NAV!$B$3</f>
        <v>0</v>
      </c>
    </row>
    <row r="130" spans="1:6">
      <c r="A130" s="6">
        <v>45110</v>
      </c>
      <c r="B130" s="7" t="s">
        <v>125</v>
      </c>
      <c r="C130" s="7">
        <v>5</v>
      </c>
      <c r="D130" s="8">
        <v>0.1004392971276721</v>
      </c>
      <c r="E130" s="9">
        <f>IF(D130&gt;0.2000001,"BREACH","ok")</f>
        <v>0</v>
      </c>
      <c r="F130" s="10">
        <f>D130*NAV!$B$3</f>
        <v>0</v>
      </c>
    </row>
    <row r="131" spans="1:6">
      <c r="A131" s="6">
        <v>45110</v>
      </c>
      <c r="B131" s="7" t="s">
        <v>133</v>
      </c>
      <c r="C131" s="7">
        <v>6</v>
      </c>
      <c r="D131" s="8">
        <v>0.09605463832479619</v>
      </c>
      <c r="E131" s="9">
        <f>IF(D131&gt;0.2000001,"BREACH","ok")</f>
        <v>0</v>
      </c>
      <c r="F131" s="10">
        <f>D131*NAV!$B$3</f>
        <v>0</v>
      </c>
    </row>
    <row r="132" spans="1:6">
      <c r="A132" s="6">
        <v>45110</v>
      </c>
      <c r="B132" s="7" t="s">
        <v>136</v>
      </c>
      <c r="C132" s="7">
        <v>7</v>
      </c>
      <c r="D132" s="8">
        <v>0.09501967156153492</v>
      </c>
      <c r="E132" s="9">
        <f>IF(D132&gt;0.2000001,"BREACH","ok")</f>
        <v>0</v>
      </c>
      <c r="F132" s="10">
        <f>D132*NAV!$B$3</f>
        <v>0</v>
      </c>
    </row>
    <row r="133" spans="1:6">
      <c r="A133" s="6">
        <v>45110</v>
      </c>
      <c r="B133" s="7" t="s">
        <v>134</v>
      </c>
      <c r="C133" s="7">
        <v>8</v>
      </c>
      <c r="D133" s="8">
        <v>0.08767458598030939</v>
      </c>
      <c r="E133" s="9">
        <f>IF(D133&gt;0.2000001,"BREACH","ok")</f>
        <v>0</v>
      </c>
      <c r="F133" s="10">
        <f>D133*NAV!$B$3</f>
        <v>0</v>
      </c>
    </row>
    <row r="134" spans="1:6">
      <c r="A134" s="6">
        <v>45110</v>
      </c>
      <c r="B134" s="7" t="s">
        <v>119</v>
      </c>
      <c r="C134" s="7">
        <v>9</v>
      </c>
      <c r="D134" s="8">
        <v>0.08328499035208066</v>
      </c>
      <c r="E134" s="9">
        <f>IF(D134&gt;0.2000001,"BREACH","ok")</f>
        <v>0</v>
      </c>
      <c r="F134" s="10">
        <f>D134*NAV!$B$3</f>
        <v>0</v>
      </c>
    </row>
    <row r="135" spans="1:6">
      <c r="A135" s="6">
        <v>45110</v>
      </c>
      <c r="B135" s="7" t="s">
        <v>137</v>
      </c>
      <c r="C135" s="7">
        <v>10</v>
      </c>
      <c r="D135" s="8">
        <v>0.08102322358071445</v>
      </c>
      <c r="E135" s="9">
        <f>IF(D135&gt;0.2000001,"BREACH","ok")</f>
        <v>0</v>
      </c>
      <c r="F135" s="10">
        <f>D135*NAV!$B$3</f>
        <v>0</v>
      </c>
    </row>
    <row r="136" spans="1:6">
      <c r="B136" s="3" t="s">
        <v>84</v>
      </c>
      <c r="C136" s="11">
        <f>COUNT(C126:C135)</f>
        <v>0</v>
      </c>
      <c r="D136" s="12">
        <f>SUM(D126:D135)</f>
        <v>0</v>
      </c>
      <c r="E136" s="11">
        <f>IF(AND(ABS(D136-1)&lt;0.0001,C136&lt;=10),"PASS","FAIL")</f>
        <v>0</v>
      </c>
    </row>
    <row r="138" spans="1:6">
      <c r="A138" s="6">
        <v>45202</v>
      </c>
      <c r="B138" s="7" t="s">
        <v>138</v>
      </c>
      <c r="C138" s="7">
        <v>1</v>
      </c>
      <c r="D138" s="8">
        <v>0.1334284001012194</v>
      </c>
      <c r="E138" s="9">
        <f>IF(D138&gt;0.2000001,"BREACH","ok")</f>
        <v>0</v>
      </c>
      <c r="F138" s="10">
        <f>D138*NAV!$B$3</f>
        <v>0</v>
      </c>
    </row>
    <row r="139" spans="1:6">
      <c r="A139" s="6">
        <v>45202</v>
      </c>
      <c r="B139" s="7" t="s">
        <v>139</v>
      </c>
      <c r="C139" s="7">
        <v>2</v>
      </c>
      <c r="D139" s="8">
        <v>0.1294585355956187</v>
      </c>
      <c r="E139" s="9">
        <f>IF(D139&gt;0.2000001,"BREACH","ok")</f>
        <v>0</v>
      </c>
      <c r="F139" s="10">
        <f>D139*NAV!$B$3</f>
        <v>0</v>
      </c>
    </row>
    <row r="140" spans="1:6">
      <c r="A140" s="6">
        <v>45202</v>
      </c>
      <c r="B140" s="7" t="s">
        <v>131</v>
      </c>
      <c r="C140" s="7">
        <v>3</v>
      </c>
      <c r="D140" s="8">
        <v>0.1218956197190986</v>
      </c>
      <c r="E140" s="9">
        <f>IF(D140&gt;0.2000001,"BREACH","ok")</f>
        <v>0</v>
      </c>
      <c r="F140" s="10">
        <f>D140*NAV!$B$3</f>
        <v>0</v>
      </c>
    </row>
    <row r="141" spans="1:6">
      <c r="A141" s="6">
        <v>45202</v>
      </c>
      <c r="B141" s="7" t="s">
        <v>140</v>
      </c>
      <c r="C141" s="7">
        <v>4</v>
      </c>
      <c r="D141" s="8">
        <v>0.1123963049521347</v>
      </c>
      <c r="E141" s="9">
        <f>IF(D141&gt;0.2000001,"BREACH","ok")</f>
        <v>0</v>
      </c>
      <c r="F141" s="10">
        <f>D141*NAV!$B$3</f>
        <v>0</v>
      </c>
    </row>
    <row r="142" spans="1:6">
      <c r="A142" s="6">
        <v>45202</v>
      </c>
      <c r="B142" s="7" t="s">
        <v>134</v>
      </c>
      <c r="C142" s="7">
        <v>5</v>
      </c>
      <c r="D142" s="8">
        <v>0.0902425799065692</v>
      </c>
      <c r="E142" s="9">
        <f>IF(D142&gt;0.2000001,"BREACH","ok")</f>
        <v>0</v>
      </c>
      <c r="F142" s="10">
        <f>D142*NAV!$B$3</f>
        <v>0</v>
      </c>
    </row>
    <row r="143" spans="1:6">
      <c r="A143" s="6">
        <v>45202</v>
      </c>
      <c r="B143" s="7" t="s">
        <v>107</v>
      </c>
      <c r="C143" s="7">
        <v>6</v>
      </c>
      <c r="D143" s="8">
        <v>0.08540167424643554</v>
      </c>
      <c r="E143" s="9">
        <f>IF(D143&gt;0.2000001,"BREACH","ok")</f>
        <v>0</v>
      </c>
      <c r="F143" s="10">
        <f>D143*NAV!$B$3</f>
        <v>0</v>
      </c>
    </row>
    <row r="144" spans="1:6">
      <c r="A144" s="6">
        <v>45202</v>
      </c>
      <c r="B144" s="7" t="s">
        <v>141</v>
      </c>
      <c r="C144" s="7">
        <v>7</v>
      </c>
      <c r="D144" s="8">
        <v>0.08489865821578711</v>
      </c>
      <c r="E144" s="9">
        <f>IF(D144&gt;0.2000001,"BREACH","ok")</f>
        <v>0</v>
      </c>
      <c r="F144" s="10">
        <f>D144*NAV!$B$3</f>
        <v>0</v>
      </c>
    </row>
    <row r="145" spans="1:6">
      <c r="A145" s="6">
        <v>45202</v>
      </c>
      <c r="B145" s="7" t="s">
        <v>142</v>
      </c>
      <c r="C145" s="7">
        <v>8</v>
      </c>
      <c r="D145" s="8">
        <v>0.08484542110905334</v>
      </c>
      <c r="E145" s="9">
        <f>IF(D145&gt;0.2000001,"BREACH","ok")</f>
        <v>0</v>
      </c>
      <c r="F145" s="10">
        <f>D145*NAV!$B$3</f>
        <v>0</v>
      </c>
    </row>
    <row r="146" spans="1:6">
      <c r="A146" s="6">
        <v>45202</v>
      </c>
      <c r="B146" s="7" t="s">
        <v>119</v>
      </c>
      <c r="C146" s="7">
        <v>9</v>
      </c>
      <c r="D146" s="8">
        <v>0.08335463417115593</v>
      </c>
      <c r="E146" s="9">
        <f>IF(D146&gt;0.2000001,"BREACH","ok")</f>
        <v>0</v>
      </c>
      <c r="F146" s="10">
        <f>D146*NAV!$B$3</f>
        <v>0</v>
      </c>
    </row>
    <row r="147" spans="1:6">
      <c r="A147" s="6">
        <v>45202</v>
      </c>
      <c r="B147" s="7" t="s">
        <v>135</v>
      </c>
      <c r="C147" s="7">
        <v>10</v>
      </c>
      <c r="D147" s="8">
        <v>0.07407817198292746</v>
      </c>
      <c r="E147" s="9">
        <f>IF(D147&gt;0.2000001,"BREACH","ok")</f>
        <v>0</v>
      </c>
      <c r="F147" s="10">
        <f>D147*NAV!$B$3</f>
        <v>0</v>
      </c>
    </row>
    <row r="148" spans="1:6">
      <c r="B148" s="3" t="s">
        <v>84</v>
      </c>
      <c r="C148" s="11">
        <f>COUNT(C138:C147)</f>
        <v>0</v>
      </c>
      <c r="D148" s="12">
        <f>SUM(D138:D147)</f>
        <v>0</v>
      </c>
      <c r="E148" s="11">
        <f>IF(AND(ABS(D148-1)&lt;0.0001,C148&lt;=10),"PASS","FAIL")</f>
        <v>0</v>
      </c>
    </row>
    <row r="150" spans="1:6">
      <c r="A150" s="6">
        <v>45292</v>
      </c>
      <c r="B150" s="7" t="s">
        <v>143</v>
      </c>
      <c r="C150" s="7">
        <v>1</v>
      </c>
      <c r="D150" s="8">
        <v>0.1217505031670939</v>
      </c>
      <c r="E150" s="9">
        <f>IF(D150&gt;0.2000001,"BREACH","ok")</f>
        <v>0</v>
      </c>
      <c r="F150" s="10">
        <f>D150*NAV!$B$3</f>
        <v>0</v>
      </c>
    </row>
    <row r="151" spans="1:6">
      <c r="A151" s="6">
        <v>45292</v>
      </c>
      <c r="B151" s="7" t="s">
        <v>138</v>
      </c>
      <c r="C151" s="7">
        <v>2</v>
      </c>
      <c r="D151" s="8">
        <v>0.1156540435974714</v>
      </c>
      <c r="E151" s="9">
        <f>IF(D151&gt;0.2000001,"BREACH","ok")</f>
        <v>0</v>
      </c>
      <c r="F151" s="10">
        <f>D151*NAV!$B$3</f>
        <v>0</v>
      </c>
    </row>
    <row r="152" spans="1:6">
      <c r="A152" s="6">
        <v>45292</v>
      </c>
      <c r="B152" s="7" t="s">
        <v>139</v>
      </c>
      <c r="C152" s="7">
        <v>3</v>
      </c>
      <c r="D152" s="8">
        <v>0.1112743920878774</v>
      </c>
      <c r="E152" s="9">
        <f>IF(D152&gt;0.2000001,"BREACH","ok")</f>
        <v>0</v>
      </c>
      <c r="F152" s="10">
        <f>D152*NAV!$B$3</f>
        <v>0</v>
      </c>
    </row>
    <row r="153" spans="1:6">
      <c r="A153" s="6">
        <v>45292</v>
      </c>
      <c r="B153" s="7" t="s">
        <v>131</v>
      </c>
      <c r="C153" s="7">
        <v>4</v>
      </c>
      <c r="D153" s="8">
        <v>0.1014192420834873</v>
      </c>
      <c r="E153" s="9">
        <f>IF(D153&gt;0.2000001,"BREACH","ok")</f>
        <v>0</v>
      </c>
      <c r="F153" s="10">
        <f>D153*NAV!$B$3</f>
        <v>0</v>
      </c>
    </row>
    <row r="154" spans="1:6">
      <c r="A154" s="6">
        <v>45292</v>
      </c>
      <c r="B154" s="7" t="s">
        <v>112</v>
      </c>
      <c r="C154" s="7">
        <v>5</v>
      </c>
      <c r="D154" s="8">
        <v>0.1001977846163803</v>
      </c>
      <c r="E154" s="9">
        <f>IF(D154&gt;0.2000001,"BREACH","ok")</f>
        <v>0</v>
      </c>
      <c r="F154" s="10">
        <f>D154*NAV!$B$3</f>
        <v>0</v>
      </c>
    </row>
    <row r="155" spans="1:6">
      <c r="A155" s="6">
        <v>45292</v>
      </c>
      <c r="B155" s="7" t="s">
        <v>144</v>
      </c>
      <c r="C155" s="7">
        <v>6</v>
      </c>
      <c r="D155" s="8">
        <v>0.09899792350458604</v>
      </c>
      <c r="E155" s="9">
        <f>IF(D155&gt;0.2000001,"BREACH","ok")</f>
        <v>0</v>
      </c>
      <c r="F155" s="10">
        <f>D155*NAV!$B$3</f>
        <v>0</v>
      </c>
    </row>
    <row r="156" spans="1:6">
      <c r="A156" s="6">
        <v>45292</v>
      </c>
      <c r="B156" s="7" t="s">
        <v>145</v>
      </c>
      <c r="C156" s="7">
        <v>7</v>
      </c>
      <c r="D156" s="8">
        <v>0.09315728517874182</v>
      </c>
      <c r="E156" s="9">
        <f>IF(D156&gt;0.2000001,"BREACH","ok")</f>
        <v>0</v>
      </c>
      <c r="F156" s="10">
        <f>D156*NAV!$B$3</f>
        <v>0</v>
      </c>
    </row>
    <row r="157" spans="1:6">
      <c r="A157" s="6">
        <v>45292</v>
      </c>
      <c r="B157" s="7" t="s">
        <v>133</v>
      </c>
      <c r="C157" s="7">
        <v>8</v>
      </c>
      <c r="D157" s="8">
        <v>0.09151628695394051</v>
      </c>
      <c r="E157" s="9">
        <f>IF(D157&gt;0.2000001,"BREACH","ok")</f>
        <v>0</v>
      </c>
      <c r="F157" s="10">
        <f>D157*NAV!$B$3</f>
        <v>0</v>
      </c>
    </row>
    <row r="158" spans="1:6">
      <c r="A158" s="6">
        <v>45292</v>
      </c>
      <c r="B158" s="7" t="s">
        <v>127</v>
      </c>
      <c r="C158" s="7">
        <v>9</v>
      </c>
      <c r="D158" s="8">
        <v>0.08802301729317792</v>
      </c>
      <c r="E158" s="9">
        <f>IF(D158&gt;0.2000001,"BREACH","ok")</f>
        <v>0</v>
      </c>
      <c r="F158" s="10">
        <f>D158*NAV!$B$3</f>
        <v>0</v>
      </c>
    </row>
    <row r="159" spans="1:6">
      <c r="A159" s="6">
        <v>45292</v>
      </c>
      <c r="B159" s="7" t="s">
        <v>107</v>
      </c>
      <c r="C159" s="7">
        <v>10</v>
      </c>
      <c r="D159" s="8">
        <v>0.07800952151724352</v>
      </c>
      <c r="E159" s="9">
        <f>IF(D159&gt;0.2000001,"BREACH","ok")</f>
        <v>0</v>
      </c>
      <c r="F159" s="10">
        <f>D159*NAV!$B$3</f>
        <v>0</v>
      </c>
    </row>
    <row r="160" spans="1:6">
      <c r="B160" s="3" t="s">
        <v>84</v>
      </c>
      <c r="C160" s="11">
        <f>COUNT(C150:C159)</f>
        <v>0</v>
      </c>
      <c r="D160" s="12">
        <f>SUM(D150:D159)</f>
        <v>0</v>
      </c>
      <c r="E160" s="11">
        <f>IF(AND(ABS(D160-1)&lt;0.0001,C160&lt;=10),"PASS","FAIL")</f>
        <v>0</v>
      </c>
    </row>
    <row r="162" spans="1:6">
      <c r="A162" s="6">
        <v>45383</v>
      </c>
      <c r="B162" s="7" t="s">
        <v>143</v>
      </c>
      <c r="C162" s="7">
        <v>1</v>
      </c>
      <c r="D162" s="8">
        <v>0.1268601875375251</v>
      </c>
      <c r="E162" s="9">
        <f>IF(D162&gt;0.2000001,"BREACH","ok")</f>
        <v>0</v>
      </c>
      <c r="F162" s="10">
        <f>D162*NAV!$B$3</f>
        <v>0</v>
      </c>
    </row>
    <row r="163" spans="1:6">
      <c r="A163" s="6">
        <v>45383</v>
      </c>
      <c r="B163" s="7" t="s">
        <v>138</v>
      </c>
      <c r="C163" s="7">
        <v>2</v>
      </c>
      <c r="D163" s="8">
        <v>0.1166462381667392</v>
      </c>
      <c r="E163" s="9">
        <f>IF(D163&gt;0.2000001,"BREACH","ok")</f>
        <v>0</v>
      </c>
      <c r="F163" s="10">
        <f>D163*NAV!$B$3</f>
        <v>0</v>
      </c>
    </row>
    <row r="164" spans="1:6">
      <c r="A164" s="6">
        <v>45383</v>
      </c>
      <c r="B164" s="7" t="s">
        <v>144</v>
      </c>
      <c r="C164" s="7">
        <v>3</v>
      </c>
      <c r="D164" s="8">
        <v>0.1086694578210228</v>
      </c>
      <c r="E164" s="9">
        <f>IF(D164&gt;0.2000001,"BREACH","ok")</f>
        <v>0</v>
      </c>
      <c r="F164" s="10">
        <f>D164*NAV!$B$3</f>
        <v>0</v>
      </c>
    </row>
    <row r="165" spans="1:6">
      <c r="A165" s="6">
        <v>45383</v>
      </c>
      <c r="B165" s="7" t="s">
        <v>133</v>
      </c>
      <c r="C165" s="7">
        <v>4</v>
      </c>
      <c r="D165" s="8">
        <v>0.1080881743384864</v>
      </c>
      <c r="E165" s="9">
        <f>IF(D165&gt;0.2000001,"BREACH","ok")</f>
        <v>0</v>
      </c>
      <c r="F165" s="10">
        <f>D165*NAV!$B$3</f>
        <v>0</v>
      </c>
    </row>
    <row r="166" spans="1:6">
      <c r="A166" s="6">
        <v>45383</v>
      </c>
      <c r="B166" s="7" t="s">
        <v>131</v>
      </c>
      <c r="C166" s="7">
        <v>5</v>
      </c>
      <c r="D166" s="8">
        <v>0.1026428791489257</v>
      </c>
      <c r="E166" s="9">
        <f>IF(D166&gt;0.2000001,"BREACH","ok")</f>
        <v>0</v>
      </c>
      <c r="F166" s="10">
        <f>D166*NAV!$B$3</f>
        <v>0</v>
      </c>
    </row>
    <row r="167" spans="1:6">
      <c r="A167" s="6">
        <v>45383</v>
      </c>
      <c r="B167" s="7" t="s">
        <v>145</v>
      </c>
      <c r="C167" s="7">
        <v>6</v>
      </c>
      <c r="D167" s="8">
        <v>0.1001688848551187</v>
      </c>
      <c r="E167" s="9">
        <f>IF(D167&gt;0.2000001,"BREACH","ok")</f>
        <v>0</v>
      </c>
      <c r="F167" s="10">
        <f>D167*NAV!$B$3</f>
        <v>0</v>
      </c>
    </row>
    <row r="168" spans="1:6">
      <c r="A168" s="6">
        <v>45383</v>
      </c>
      <c r="B168" s="7" t="s">
        <v>146</v>
      </c>
      <c r="C168" s="7">
        <v>7</v>
      </c>
      <c r="D168" s="8">
        <v>0.08842948984496277</v>
      </c>
      <c r="E168" s="9">
        <f>IF(D168&gt;0.2000001,"BREACH","ok")</f>
        <v>0</v>
      </c>
      <c r="F168" s="10">
        <f>D168*NAV!$B$3</f>
        <v>0</v>
      </c>
    </row>
    <row r="169" spans="1:6">
      <c r="A169" s="6">
        <v>45383</v>
      </c>
      <c r="B169" s="7" t="s">
        <v>120</v>
      </c>
      <c r="C169" s="7">
        <v>8</v>
      </c>
      <c r="D169" s="8">
        <v>0.08559700725258512</v>
      </c>
      <c r="E169" s="9">
        <f>IF(D169&gt;0.2000001,"BREACH","ok")</f>
        <v>0</v>
      </c>
      <c r="F169" s="10">
        <f>D169*NAV!$B$3</f>
        <v>0</v>
      </c>
    </row>
    <row r="170" spans="1:6">
      <c r="A170" s="6">
        <v>45383</v>
      </c>
      <c r="B170" s="7" t="s">
        <v>119</v>
      </c>
      <c r="C170" s="7">
        <v>9</v>
      </c>
      <c r="D170" s="8">
        <v>0.08356519285857035</v>
      </c>
      <c r="E170" s="9">
        <f>IF(D170&gt;0.2000001,"BREACH","ok")</f>
        <v>0</v>
      </c>
      <c r="F170" s="10">
        <f>D170*NAV!$B$3</f>
        <v>0</v>
      </c>
    </row>
    <row r="171" spans="1:6">
      <c r="A171" s="6">
        <v>45383</v>
      </c>
      <c r="B171" s="7" t="s">
        <v>147</v>
      </c>
      <c r="C171" s="7">
        <v>10</v>
      </c>
      <c r="D171" s="8">
        <v>0.07933248817606391</v>
      </c>
      <c r="E171" s="9">
        <f>IF(D171&gt;0.2000001,"BREACH","ok")</f>
        <v>0</v>
      </c>
      <c r="F171" s="10">
        <f>D171*NAV!$B$3</f>
        <v>0</v>
      </c>
    </row>
    <row r="172" spans="1:6">
      <c r="B172" s="3" t="s">
        <v>84</v>
      </c>
      <c r="C172" s="11">
        <f>COUNT(C162:C171)</f>
        <v>0</v>
      </c>
      <c r="D172" s="12">
        <f>SUM(D162:D171)</f>
        <v>0</v>
      </c>
      <c r="E172" s="11">
        <f>IF(AND(ABS(D172-1)&lt;0.0001,C172&lt;=10),"PASS","FAIL")</f>
        <v>0</v>
      </c>
    </row>
    <row r="174" spans="1:6">
      <c r="A174" s="6">
        <v>45474</v>
      </c>
      <c r="B174" s="7" t="s">
        <v>148</v>
      </c>
      <c r="C174" s="7">
        <v>1</v>
      </c>
      <c r="D174" s="8">
        <v>0.1339019575164739</v>
      </c>
      <c r="E174" s="9">
        <f>IF(D174&gt;0.2000001,"BREACH","ok")</f>
        <v>0</v>
      </c>
      <c r="F174" s="10">
        <f>D174*NAV!$B$3</f>
        <v>0</v>
      </c>
    </row>
    <row r="175" spans="1:6">
      <c r="A175" s="6">
        <v>45474</v>
      </c>
      <c r="B175" s="7" t="s">
        <v>143</v>
      </c>
      <c r="C175" s="7">
        <v>2</v>
      </c>
      <c r="D175" s="8">
        <v>0.1260804973865267</v>
      </c>
      <c r="E175" s="9">
        <f>IF(D175&gt;0.2000001,"BREACH","ok")</f>
        <v>0</v>
      </c>
      <c r="F175" s="10">
        <f>D175*NAV!$B$3</f>
        <v>0</v>
      </c>
    </row>
    <row r="176" spans="1:6">
      <c r="A176" s="6">
        <v>45474</v>
      </c>
      <c r="B176" s="7" t="s">
        <v>138</v>
      </c>
      <c r="C176" s="7">
        <v>3</v>
      </c>
      <c r="D176" s="8">
        <v>0.1154382443562129</v>
      </c>
      <c r="E176" s="9">
        <f>IF(D176&gt;0.2000001,"BREACH","ok")</f>
        <v>0</v>
      </c>
      <c r="F176" s="10">
        <f>D176*NAV!$B$3</f>
        <v>0</v>
      </c>
    </row>
    <row r="177" spans="1:6">
      <c r="A177" s="6">
        <v>45474</v>
      </c>
      <c r="B177" s="7" t="s">
        <v>144</v>
      </c>
      <c r="C177" s="7">
        <v>4</v>
      </c>
      <c r="D177" s="8">
        <v>0.1147314052870148</v>
      </c>
      <c r="E177" s="9">
        <f>IF(D177&gt;0.2000001,"BREACH","ok")</f>
        <v>0</v>
      </c>
      <c r="F177" s="10">
        <f>D177*NAV!$B$3</f>
        <v>0</v>
      </c>
    </row>
    <row r="178" spans="1:6">
      <c r="A178" s="6">
        <v>45474</v>
      </c>
      <c r="B178" s="7" t="s">
        <v>149</v>
      </c>
      <c r="C178" s="7">
        <v>5</v>
      </c>
      <c r="D178" s="8">
        <v>0.1115409395143997</v>
      </c>
      <c r="E178" s="9">
        <f>IF(D178&gt;0.2000001,"BREACH","ok")</f>
        <v>0</v>
      </c>
      <c r="F178" s="10">
        <f>D178*NAV!$B$3</f>
        <v>0</v>
      </c>
    </row>
    <row r="179" spans="1:6">
      <c r="A179" s="6">
        <v>45474</v>
      </c>
      <c r="B179" s="7" t="s">
        <v>112</v>
      </c>
      <c r="C179" s="7">
        <v>6</v>
      </c>
      <c r="D179" s="8">
        <v>0.08815151063830889</v>
      </c>
      <c r="E179" s="9">
        <f>IF(D179&gt;0.2000001,"BREACH","ok")</f>
        <v>0</v>
      </c>
      <c r="F179" s="10">
        <f>D179*NAV!$B$3</f>
        <v>0</v>
      </c>
    </row>
    <row r="180" spans="1:6">
      <c r="A180" s="6">
        <v>45474</v>
      </c>
      <c r="B180" s="7" t="s">
        <v>147</v>
      </c>
      <c r="C180" s="7">
        <v>7</v>
      </c>
      <c r="D180" s="8">
        <v>0.08354516763433897</v>
      </c>
      <c r="E180" s="9">
        <f>IF(D180&gt;0.2000001,"BREACH","ok")</f>
        <v>0</v>
      </c>
      <c r="F180" s="10">
        <f>D180*NAV!$B$3</f>
        <v>0</v>
      </c>
    </row>
    <row r="181" spans="1:6">
      <c r="A181" s="6">
        <v>45474</v>
      </c>
      <c r="B181" s="7" t="s">
        <v>127</v>
      </c>
      <c r="C181" s="7">
        <v>8</v>
      </c>
      <c r="D181" s="8">
        <v>0.0822701511235305</v>
      </c>
      <c r="E181" s="9">
        <f>IF(D181&gt;0.2000001,"BREACH","ok")</f>
        <v>0</v>
      </c>
      <c r="F181" s="10">
        <f>D181*NAV!$B$3</f>
        <v>0</v>
      </c>
    </row>
    <row r="182" spans="1:6">
      <c r="A182" s="6">
        <v>45474</v>
      </c>
      <c r="B182" s="7" t="s">
        <v>150</v>
      </c>
      <c r="C182" s="7">
        <v>9</v>
      </c>
      <c r="D182" s="8">
        <v>0.07503673224053513</v>
      </c>
      <c r="E182" s="9">
        <f>IF(D182&gt;0.2000001,"BREACH","ok")</f>
        <v>0</v>
      </c>
      <c r="F182" s="10">
        <f>D182*NAV!$B$3</f>
        <v>0</v>
      </c>
    </row>
    <row r="183" spans="1:6">
      <c r="A183" s="6">
        <v>45474</v>
      </c>
      <c r="B183" s="7" t="s">
        <v>151</v>
      </c>
      <c r="C183" s="7">
        <v>10</v>
      </c>
      <c r="D183" s="8">
        <v>0.06930339430265849</v>
      </c>
      <c r="E183" s="9">
        <f>IF(D183&gt;0.2000001,"BREACH","ok")</f>
        <v>0</v>
      </c>
      <c r="F183" s="10">
        <f>D183*NAV!$B$3</f>
        <v>0</v>
      </c>
    </row>
    <row r="184" spans="1:6">
      <c r="B184" s="3" t="s">
        <v>84</v>
      </c>
      <c r="C184" s="11">
        <f>COUNT(C174:C183)</f>
        <v>0</v>
      </c>
      <c r="D184" s="12">
        <f>SUM(D174:D183)</f>
        <v>0</v>
      </c>
      <c r="E184" s="11">
        <f>IF(AND(ABS(D184-1)&lt;0.0001,C184&lt;=10),"PASS","FAIL")</f>
        <v>0</v>
      </c>
    </row>
    <row r="186" spans="1:6">
      <c r="A186" s="6">
        <v>45566</v>
      </c>
      <c r="B186" s="7" t="s">
        <v>148</v>
      </c>
      <c r="C186" s="7">
        <v>1</v>
      </c>
      <c r="D186" s="8">
        <v>0.1256208465172429</v>
      </c>
      <c r="E186" s="9">
        <f>IF(D186&gt;0.2000001,"BREACH","ok")</f>
        <v>0</v>
      </c>
      <c r="F186" s="10">
        <f>D186*NAV!$B$3</f>
        <v>0</v>
      </c>
    </row>
    <row r="187" spans="1:6">
      <c r="A187" s="6">
        <v>45566</v>
      </c>
      <c r="B187" s="7" t="s">
        <v>152</v>
      </c>
      <c r="C187" s="7">
        <v>2</v>
      </c>
      <c r="D187" s="8">
        <v>0.123754996683971</v>
      </c>
      <c r="E187" s="9">
        <f>IF(D187&gt;0.2000001,"BREACH","ok")</f>
        <v>0</v>
      </c>
      <c r="F187" s="10">
        <f>D187*NAV!$B$3</f>
        <v>0</v>
      </c>
    </row>
    <row r="188" spans="1:6">
      <c r="A188" s="6">
        <v>45566</v>
      </c>
      <c r="B188" s="7" t="s">
        <v>138</v>
      </c>
      <c r="C188" s="7">
        <v>3</v>
      </c>
      <c r="D188" s="8">
        <v>0.1218553081857896</v>
      </c>
      <c r="E188" s="9">
        <f>IF(D188&gt;0.2000001,"BREACH","ok")</f>
        <v>0</v>
      </c>
      <c r="F188" s="10">
        <f>D188*NAV!$B$3</f>
        <v>0</v>
      </c>
    </row>
    <row r="189" spans="1:6">
      <c r="A189" s="6">
        <v>45566</v>
      </c>
      <c r="B189" s="7" t="s">
        <v>144</v>
      </c>
      <c r="C189" s="7">
        <v>4</v>
      </c>
      <c r="D189" s="8">
        <v>0.1134359112528741</v>
      </c>
      <c r="E189" s="9">
        <f>IF(D189&gt;0.2000001,"BREACH","ok")</f>
        <v>0</v>
      </c>
      <c r="F189" s="10">
        <f>D189*NAV!$B$3</f>
        <v>0</v>
      </c>
    </row>
    <row r="190" spans="1:6">
      <c r="A190" s="6">
        <v>45566</v>
      </c>
      <c r="B190" s="7" t="s">
        <v>149</v>
      </c>
      <c r="C190" s="7">
        <v>5</v>
      </c>
      <c r="D190" s="8">
        <v>0.1076885036429491</v>
      </c>
      <c r="E190" s="9">
        <f>IF(D190&gt;0.2000001,"BREACH","ok")</f>
        <v>0</v>
      </c>
      <c r="F190" s="10">
        <f>D190*NAV!$B$3</f>
        <v>0</v>
      </c>
    </row>
    <row r="191" spans="1:6">
      <c r="A191" s="6">
        <v>45566</v>
      </c>
      <c r="B191" s="7" t="s">
        <v>153</v>
      </c>
      <c r="C191" s="7">
        <v>6</v>
      </c>
      <c r="D191" s="8">
        <v>0.09665015207043416</v>
      </c>
      <c r="E191" s="9">
        <f>IF(D191&gt;0.2000001,"BREACH","ok")</f>
        <v>0</v>
      </c>
      <c r="F191" s="10">
        <f>D191*NAV!$B$3</f>
        <v>0</v>
      </c>
    </row>
    <row r="192" spans="1:6">
      <c r="A192" s="6">
        <v>45566</v>
      </c>
      <c r="B192" s="7" t="s">
        <v>154</v>
      </c>
      <c r="C192" s="7">
        <v>7</v>
      </c>
      <c r="D192" s="8">
        <v>0.08669600857267772</v>
      </c>
      <c r="E192" s="9">
        <f>IF(D192&gt;0.2000001,"BREACH","ok")</f>
        <v>0</v>
      </c>
      <c r="F192" s="10">
        <f>D192*NAV!$B$3</f>
        <v>0</v>
      </c>
    </row>
    <row r="193" spans="1:6">
      <c r="A193" s="6">
        <v>45566</v>
      </c>
      <c r="B193" s="7" t="s">
        <v>147</v>
      </c>
      <c r="C193" s="7">
        <v>8</v>
      </c>
      <c r="D193" s="8">
        <v>0.07623681237534281</v>
      </c>
      <c r="E193" s="9">
        <f>IF(D193&gt;0.2000001,"BREACH","ok")</f>
        <v>0</v>
      </c>
      <c r="F193" s="10">
        <f>D193*NAV!$B$3</f>
        <v>0</v>
      </c>
    </row>
    <row r="194" spans="1:6">
      <c r="A194" s="6">
        <v>45566</v>
      </c>
      <c r="B194" s="7" t="s">
        <v>87</v>
      </c>
      <c r="C194" s="7">
        <v>9</v>
      </c>
      <c r="D194" s="8">
        <v>0.07581560902376122</v>
      </c>
      <c r="E194" s="9">
        <f>IF(D194&gt;0.2000001,"BREACH","ok")</f>
        <v>0</v>
      </c>
      <c r="F194" s="10">
        <f>D194*NAV!$B$3</f>
        <v>0</v>
      </c>
    </row>
    <row r="195" spans="1:6">
      <c r="A195" s="6">
        <v>45566</v>
      </c>
      <c r="B195" s="7" t="s">
        <v>150</v>
      </c>
      <c r="C195" s="7">
        <v>10</v>
      </c>
      <c r="D195" s="8">
        <v>0.07224585167495752</v>
      </c>
      <c r="E195" s="9">
        <f>IF(D195&gt;0.2000001,"BREACH","ok")</f>
        <v>0</v>
      </c>
      <c r="F195" s="10">
        <f>D195*NAV!$B$3</f>
        <v>0</v>
      </c>
    </row>
    <row r="196" spans="1:6">
      <c r="B196" s="3" t="s">
        <v>84</v>
      </c>
      <c r="C196" s="11">
        <f>COUNT(C186:C195)</f>
        <v>0</v>
      </c>
      <c r="D196" s="12">
        <f>SUM(D186:D195)</f>
        <v>0</v>
      </c>
      <c r="E196" s="11">
        <f>IF(AND(ABS(D196-1)&lt;0.0001,C196&lt;=10),"PASS","FAIL")</f>
        <v>0</v>
      </c>
    </row>
    <row r="198" spans="1:6">
      <c r="A198" s="6">
        <v>45658</v>
      </c>
      <c r="B198" s="7" t="s">
        <v>111</v>
      </c>
      <c r="C198" s="7">
        <v>1</v>
      </c>
      <c r="D198" s="8">
        <v>0.1571119823876807</v>
      </c>
      <c r="E198" s="9">
        <f>IF(D198&gt;0.2000001,"BREACH","ok")</f>
        <v>0</v>
      </c>
      <c r="F198" s="10">
        <f>D198*NAV!$B$3</f>
        <v>0</v>
      </c>
    </row>
    <row r="199" spans="1:6">
      <c r="A199" s="6">
        <v>45658</v>
      </c>
      <c r="B199" s="7" t="s">
        <v>148</v>
      </c>
      <c r="C199" s="7">
        <v>2</v>
      </c>
      <c r="D199" s="8">
        <v>0.1278855905121786</v>
      </c>
      <c r="E199" s="9">
        <f>IF(D199&gt;0.2000001,"BREACH","ok")</f>
        <v>0</v>
      </c>
      <c r="F199" s="10">
        <f>D199*NAV!$B$3</f>
        <v>0</v>
      </c>
    </row>
    <row r="200" spans="1:6">
      <c r="A200" s="6">
        <v>45658</v>
      </c>
      <c r="B200" s="7" t="s">
        <v>152</v>
      </c>
      <c r="C200" s="7">
        <v>3</v>
      </c>
      <c r="D200" s="8">
        <v>0.1262264253805587</v>
      </c>
      <c r="E200" s="9">
        <f>IF(D200&gt;0.2000001,"BREACH","ok")</f>
        <v>0</v>
      </c>
      <c r="F200" s="10">
        <f>D200*NAV!$B$3</f>
        <v>0</v>
      </c>
    </row>
    <row r="201" spans="1:6">
      <c r="A201" s="6">
        <v>45658</v>
      </c>
      <c r="B201" s="7" t="s">
        <v>155</v>
      </c>
      <c r="C201" s="7">
        <v>4</v>
      </c>
      <c r="D201" s="8">
        <v>0.09872975336785049</v>
      </c>
      <c r="E201" s="9">
        <f>IF(D201&gt;0.2000001,"BREACH","ok")</f>
        <v>0</v>
      </c>
      <c r="F201" s="10">
        <f>D201*NAV!$B$3</f>
        <v>0</v>
      </c>
    </row>
    <row r="202" spans="1:6">
      <c r="A202" s="6">
        <v>45658</v>
      </c>
      <c r="B202" s="7" t="s">
        <v>136</v>
      </c>
      <c r="C202" s="7">
        <v>5</v>
      </c>
      <c r="D202" s="8">
        <v>0.09402648431069822</v>
      </c>
      <c r="E202" s="9">
        <f>IF(D202&gt;0.2000001,"BREACH","ok")</f>
        <v>0</v>
      </c>
      <c r="F202" s="10">
        <f>D202*NAV!$B$3</f>
        <v>0</v>
      </c>
    </row>
    <row r="203" spans="1:6">
      <c r="A203" s="6">
        <v>45658</v>
      </c>
      <c r="B203" s="7" t="s">
        <v>156</v>
      </c>
      <c r="C203" s="7">
        <v>6</v>
      </c>
      <c r="D203" s="8">
        <v>0.08944664266576159</v>
      </c>
      <c r="E203" s="9">
        <f>IF(D203&gt;0.2000001,"BREACH","ok")</f>
        <v>0</v>
      </c>
      <c r="F203" s="10">
        <f>D203*NAV!$B$3</f>
        <v>0</v>
      </c>
    </row>
    <row r="204" spans="1:6">
      <c r="A204" s="6">
        <v>45658</v>
      </c>
      <c r="B204" s="7" t="s">
        <v>154</v>
      </c>
      <c r="C204" s="7">
        <v>7</v>
      </c>
      <c r="D204" s="8">
        <v>0.0828682469316943</v>
      </c>
      <c r="E204" s="9">
        <f>IF(D204&gt;0.2000001,"BREACH","ok")</f>
        <v>0</v>
      </c>
      <c r="F204" s="10">
        <f>D204*NAV!$B$3</f>
        <v>0</v>
      </c>
    </row>
    <row r="205" spans="1:6">
      <c r="A205" s="6">
        <v>45658</v>
      </c>
      <c r="B205" s="7" t="s">
        <v>87</v>
      </c>
      <c r="C205" s="7">
        <v>8</v>
      </c>
      <c r="D205" s="8">
        <v>0.07702044094094464</v>
      </c>
      <c r="E205" s="9">
        <f>IF(D205&gt;0.2000001,"BREACH","ok")</f>
        <v>0</v>
      </c>
      <c r="F205" s="10">
        <f>D205*NAV!$B$3</f>
        <v>0</v>
      </c>
    </row>
    <row r="206" spans="1:6">
      <c r="A206" s="6">
        <v>45658</v>
      </c>
      <c r="B206" s="7" t="s">
        <v>157</v>
      </c>
      <c r="C206" s="7">
        <v>9</v>
      </c>
      <c r="D206" s="8">
        <v>0.0769046355427237</v>
      </c>
      <c r="E206" s="9">
        <f>IF(D206&gt;0.2000001,"BREACH","ok")</f>
        <v>0</v>
      </c>
      <c r="F206" s="10">
        <f>D206*NAV!$B$3</f>
        <v>0</v>
      </c>
    </row>
    <row r="207" spans="1:6">
      <c r="A207" s="6">
        <v>45658</v>
      </c>
      <c r="B207" s="7" t="s">
        <v>158</v>
      </c>
      <c r="C207" s="7">
        <v>10</v>
      </c>
      <c r="D207" s="8">
        <v>0.06977979795990921</v>
      </c>
      <c r="E207" s="9">
        <f>IF(D207&gt;0.2000001,"BREACH","ok")</f>
        <v>0</v>
      </c>
      <c r="F207" s="10">
        <f>D207*NAV!$B$3</f>
        <v>0</v>
      </c>
    </row>
    <row r="208" spans="1:6">
      <c r="B208" s="3" t="s">
        <v>84</v>
      </c>
      <c r="C208" s="11">
        <f>COUNT(C198:C207)</f>
        <v>0</v>
      </c>
      <c r="D208" s="12">
        <f>SUM(D198:D207)</f>
        <v>0</v>
      </c>
      <c r="E208" s="11">
        <f>IF(AND(ABS(D208-1)&lt;0.0001,C208&lt;=10),"PASS","FAIL")</f>
        <v>0</v>
      </c>
    </row>
    <row r="210" spans="1:6">
      <c r="A210" s="6">
        <v>45748</v>
      </c>
      <c r="B210" s="7" t="s">
        <v>159</v>
      </c>
      <c r="C210" s="7">
        <v>1</v>
      </c>
      <c r="D210" s="8">
        <v>0.1349772384667577</v>
      </c>
      <c r="E210" s="9">
        <f>IF(D210&gt;0.2000001,"BREACH","ok")</f>
        <v>0</v>
      </c>
      <c r="F210" s="10">
        <f>D210*NAV!$B$3</f>
        <v>0</v>
      </c>
    </row>
    <row r="211" spans="1:6">
      <c r="A211" s="6">
        <v>45748</v>
      </c>
      <c r="B211" s="7" t="s">
        <v>148</v>
      </c>
      <c r="C211" s="7">
        <v>2</v>
      </c>
      <c r="D211" s="8">
        <v>0.1168268781745989</v>
      </c>
      <c r="E211" s="9">
        <f>IF(D211&gt;0.2000001,"BREACH","ok")</f>
        <v>0</v>
      </c>
      <c r="F211" s="10">
        <f>D211*NAV!$B$3</f>
        <v>0</v>
      </c>
    </row>
    <row r="212" spans="1:6">
      <c r="A212" s="6">
        <v>45748</v>
      </c>
      <c r="B212" s="7" t="s">
        <v>113</v>
      </c>
      <c r="C212" s="7">
        <v>3</v>
      </c>
      <c r="D212" s="8">
        <v>0.1071286723644219</v>
      </c>
      <c r="E212" s="9">
        <f>IF(D212&gt;0.2000001,"BREACH","ok")</f>
        <v>0</v>
      </c>
      <c r="F212" s="10">
        <f>D212*NAV!$B$3</f>
        <v>0</v>
      </c>
    </row>
    <row r="213" spans="1:6">
      <c r="A213" s="6">
        <v>45748</v>
      </c>
      <c r="B213" s="7" t="s">
        <v>160</v>
      </c>
      <c r="C213" s="7">
        <v>4</v>
      </c>
      <c r="D213" s="8">
        <v>0.1046491066735045</v>
      </c>
      <c r="E213" s="9">
        <f>IF(D213&gt;0.2000001,"BREACH","ok")</f>
        <v>0</v>
      </c>
      <c r="F213" s="10">
        <f>D213*NAV!$B$3</f>
        <v>0</v>
      </c>
    </row>
    <row r="214" spans="1:6">
      <c r="A214" s="6">
        <v>45748</v>
      </c>
      <c r="B214" s="7" t="s">
        <v>74</v>
      </c>
      <c r="C214" s="7">
        <v>5</v>
      </c>
      <c r="D214" s="8">
        <v>0.1017620263584385</v>
      </c>
      <c r="E214" s="9">
        <f>IF(D214&gt;0.2000001,"BREACH","ok")</f>
        <v>0</v>
      </c>
      <c r="F214" s="10">
        <f>D214*NAV!$B$3</f>
        <v>0</v>
      </c>
    </row>
    <row r="215" spans="1:6">
      <c r="A215" s="6">
        <v>45748</v>
      </c>
      <c r="B215" s="7" t="s">
        <v>161</v>
      </c>
      <c r="C215" s="7">
        <v>6</v>
      </c>
      <c r="D215" s="8">
        <v>0.09898023147035094</v>
      </c>
      <c r="E215" s="9">
        <f>IF(D215&gt;0.2000001,"BREACH","ok")</f>
        <v>0</v>
      </c>
      <c r="F215" s="10">
        <f>D215*NAV!$B$3</f>
        <v>0</v>
      </c>
    </row>
    <row r="216" spans="1:6">
      <c r="A216" s="6">
        <v>45748</v>
      </c>
      <c r="B216" s="7" t="s">
        <v>162</v>
      </c>
      <c r="C216" s="7">
        <v>7</v>
      </c>
      <c r="D216" s="8">
        <v>0.09352497606228422</v>
      </c>
      <c r="E216" s="9">
        <f>IF(D216&gt;0.2000001,"BREACH","ok")</f>
        <v>0</v>
      </c>
      <c r="F216" s="10">
        <f>D216*NAV!$B$3</f>
        <v>0</v>
      </c>
    </row>
    <row r="217" spans="1:6">
      <c r="A217" s="6">
        <v>45748</v>
      </c>
      <c r="B217" s="7" t="s">
        <v>163</v>
      </c>
      <c r="C217" s="7">
        <v>8</v>
      </c>
      <c r="D217" s="8">
        <v>0.084315973345539</v>
      </c>
      <c r="E217" s="9">
        <f>IF(D217&gt;0.2000001,"BREACH","ok")</f>
        <v>0</v>
      </c>
      <c r="F217" s="10">
        <f>D217*NAV!$B$3</f>
        <v>0</v>
      </c>
    </row>
    <row r="218" spans="1:6">
      <c r="A218" s="6">
        <v>45748</v>
      </c>
      <c r="B218" s="7" t="s">
        <v>110</v>
      </c>
      <c r="C218" s="7">
        <v>9</v>
      </c>
      <c r="D218" s="8">
        <v>0.08333125604248212</v>
      </c>
      <c r="E218" s="9">
        <f>IF(D218&gt;0.2000001,"BREACH","ok")</f>
        <v>0</v>
      </c>
      <c r="F218" s="10">
        <f>D218*NAV!$B$3</f>
        <v>0</v>
      </c>
    </row>
    <row r="219" spans="1:6">
      <c r="A219" s="6">
        <v>45748</v>
      </c>
      <c r="B219" s="7" t="s">
        <v>81</v>
      </c>
      <c r="C219" s="7">
        <v>10</v>
      </c>
      <c r="D219" s="8">
        <v>0.07450364104162227</v>
      </c>
      <c r="E219" s="9">
        <f>IF(D219&gt;0.2000001,"BREACH","ok")</f>
        <v>0</v>
      </c>
      <c r="F219" s="10">
        <f>D219*NAV!$B$3</f>
        <v>0</v>
      </c>
    </row>
    <row r="220" spans="1:6">
      <c r="B220" s="3" t="s">
        <v>84</v>
      </c>
      <c r="C220" s="11">
        <f>COUNT(C210:C219)</f>
        <v>0</v>
      </c>
      <c r="D220" s="12">
        <f>SUM(D210:D219)</f>
        <v>0</v>
      </c>
      <c r="E220" s="11">
        <f>IF(AND(ABS(D220-1)&lt;0.0001,C220&lt;=10),"PASS","FAIL")</f>
        <v>0</v>
      </c>
    </row>
    <row r="222" spans="1:6">
      <c r="A222" s="6">
        <v>45839</v>
      </c>
      <c r="B222" s="7" t="s">
        <v>159</v>
      </c>
      <c r="C222" s="7">
        <v>1</v>
      </c>
      <c r="D222" s="8">
        <v>0.1439687534072941</v>
      </c>
      <c r="E222" s="9">
        <f>IF(D222&gt;0.2000001,"BREACH","ok")</f>
        <v>0</v>
      </c>
      <c r="F222" s="10">
        <f>D222*NAV!$B$3</f>
        <v>0</v>
      </c>
    </row>
    <row r="223" spans="1:6">
      <c r="A223" s="6">
        <v>45839</v>
      </c>
      <c r="B223" s="7" t="s">
        <v>148</v>
      </c>
      <c r="C223" s="7">
        <v>2</v>
      </c>
      <c r="D223" s="8">
        <v>0.1245755978834108</v>
      </c>
      <c r="E223" s="9">
        <f>IF(D223&gt;0.2000001,"BREACH","ok")</f>
        <v>0</v>
      </c>
      <c r="F223" s="10">
        <f>D223*NAV!$B$3</f>
        <v>0</v>
      </c>
    </row>
    <row r="224" spans="1:6">
      <c r="A224" s="6">
        <v>45839</v>
      </c>
      <c r="B224" s="7" t="s">
        <v>164</v>
      </c>
      <c r="C224" s="7">
        <v>3</v>
      </c>
      <c r="D224" s="8">
        <v>0.1223268272729441</v>
      </c>
      <c r="E224" s="9">
        <f>IF(D224&gt;0.2000001,"BREACH","ok")</f>
        <v>0</v>
      </c>
      <c r="F224" s="10">
        <f>D224*NAV!$B$3</f>
        <v>0</v>
      </c>
    </row>
    <row r="225" spans="1:6">
      <c r="A225" s="6">
        <v>45839</v>
      </c>
      <c r="B225" s="7" t="s">
        <v>165</v>
      </c>
      <c r="C225" s="7">
        <v>4</v>
      </c>
      <c r="D225" s="8">
        <v>0.1080416913068031</v>
      </c>
      <c r="E225" s="9">
        <f>IF(D225&gt;0.2000001,"BREACH","ok")</f>
        <v>0</v>
      </c>
      <c r="F225" s="10">
        <f>D225*NAV!$B$3</f>
        <v>0</v>
      </c>
    </row>
    <row r="226" spans="1:6">
      <c r="A226" s="6">
        <v>45839</v>
      </c>
      <c r="B226" s="7" t="s">
        <v>74</v>
      </c>
      <c r="C226" s="7">
        <v>5</v>
      </c>
      <c r="D226" s="8">
        <v>0.09776249591286147</v>
      </c>
      <c r="E226" s="9">
        <f>IF(D226&gt;0.2000001,"BREACH","ok")</f>
        <v>0</v>
      </c>
      <c r="F226" s="10">
        <f>D226*NAV!$B$3</f>
        <v>0</v>
      </c>
    </row>
    <row r="227" spans="1:6">
      <c r="A227" s="6">
        <v>45839</v>
      </c>
      <c r="B227" s="7" t="s">
        <v>162</v>
      </c>
      <c r="C227" s="7">
        <v>6</v>
      </c>
      <c r="D227" s="8">
        <v>0.08913550573248673</v>
      </c>
      <c r="E227" s="9">
        <f>IF(D227&gt;0.2000001,"BREACH","ok")</f>
        <v>0</v>
      </c>
      <c r="F227" s="10">
        <f>D227*NAV!$B$3</f>
        <v>0</v>
      </c>
    </row>
    <row r="228" spans="1:6">
      <c r="A228" s="6">
        <v>45839</v>
      </c>
      <c r="B228" s="7" t="s">
        <v>166</v>
      </c>
      <c r="C228" s="7">
        <v>7</v>
      </c>
      <c r="D228" s="8">
        <v>0.08833910180480245</v>
      </c>
      <c r="E228" s="9">
        <f>IF(D228&gt;0.2000001,"BREACH","ok")</f>
        <v>0</v>
      </c>
      <c r="F228" s="10">
        <f>D228*NAV!$B$3</f>
        <v>0</v>
      </c>
    </row>
    <row r="229" spans="1:6">
      <c r="A229" s="6">
        <v>45839</v>
      </c>
      <c r="B229" s="7" t="s">
        <v>163</v>
      </c>
      <c r="C229" s="7">
        <v>8</v>
      </c>
      <c r="D229" s="8">
        <v>0.08377892500731915</v>
      </c>
      <c r="E229" s="9">
        <f>IF(D229&gt;0.2000001,"BREACH","ok")</f>
        <v>0</v>
      </c>
      <c r="F229" s="10">
        <f>D229*NAV!$B$3</f>
        <v>0</v>
      </c>
    </row>
    <row r="230" spans="1:6">
      <c r="A230" s="6">
        <v>45839</v>
      </c>
      <c r="B230" s="7" t="s">
        <v>110</v>
      </c>
      <c r="C230" s="7">
        <v>9</v>
      </c>
      <c r="D230" s="8">
        <v>0.07422268187150723</v>
      </c>
      <c r="E230" s="9">
        <f>IF(D230&gt;0.2000001,"BREACH","ok")</f>
        <v>0</v>
      </c>
      <c r="F230" s="10">
        <f>D230*NAV!$B$3</f>
        <v>0</v>
      </c>
    </row>
    <row r="231" spans="1:6">
      <c r="A231" s="6">
        <v>45839</v>
      </c>
      <c r="B231" s="7" t="s">
        <v>167</v>
      </c>
      <c r="C231" s="7">
        <v>10</v>
      </c>
      <c r="D231" s="8">
        <v>0.06784841980057095</v>
      </c>
      <c r="E231" s="9">
        <f>IF(D231&gt;0.2000001,"BREACH","ok")</f>
        <v>0</v>
      </c>
      <c r="F231" s="10">
        <f>D231*NAV!$B$3</f>
        <v>0</v>
      </c>
    </row>
    <row r="232" spans="1:6">
      <c r="B232" s="3" t="s">
        <v>84</v>
      </c>
      <c r="C232" s="11">
        <f>COUNT(C222:C231)</f>
        <v>0</v>
      </c>
      <c r="D232" s="12">
        <f>SUM(D222:D231)</f>
        <v>0</v>
      </c>
      <c r="E232" s="11">
        <f>IF(AND(ABS(D232-1)&lt;0.0001,C232&lt;=10),"PASS","FAIL")</f>
        <v>0</v>
      </c>
    </row>
    <row r="234" spans="1:6">
      <c r="A234" s="6">
        <v>45931</v>
      </c>
      <c r="B234" s="7" t="s">
        <v>159</v>
      </c>
      <c r="C234" s="7">
        <v>1</v>
      </c>
      <c r="D234" s="8">
        <v>0.147476086756126</v>
      </c>
      <c r="E234" s="9">
        <f>IF(D234&gt;0.2000001,"BREACH","ok")</f>
        <v>0</v>
      </c>
      <c r="F234" s="10">
        <f>D234*NAV!$B$3</f>
        <v>0</v>
      </c>
    </row>
    <row r="235" spans="1:6">
      <c r="A235" s="6">
        <v>45931</v>
      </c>
      <c r="B235" s="7" t="s">
        <v>148</v>
      </c>
      <c r="C235" s="7">
        <v>2</v>
      </c>
      <c r="D235" s="8">
        <v>0.1250378603863938</v>
      </c>
      <c r="E235" s="9">
        <f>IF(D235&gt;0.2000001,"BREACH","ok")</f>
        <v>0</v>
      </c>
      <c r="F235" s="10">
        <f>D235*NAV!$B$3</f>
        <v>0</v>
      </c>
    </row>
    <row r="236" spans="1:6">
      <c r="A236" s="6">
        <v>45931</v>
      </c>
      <c r="B236" s="7" t="s">
        <v>168</v>
      </c>
      <c r="C236" s="7">
        <v>3</v>
      </c>
      <c r="D236" s="8">
        <v>0.1165395935095026</v>
      </c>
      <c r="E236" s="9">
        <f>IF(D236&gt;0.2000001,"BREACH","ok")</f>
        <v>0</v>
      </c>
      <c r="F236" s="10">
        <f>D236*NAV!$B$3</f>
        <v>0</v>
      </c>
    </row>
    <row r="237" spans="1:6">
      <c r="A237" s="6">
        <v>45931</v>
      </c>
      <c r="B237" s="7" t="s">
        <v>160</v>
      </c>
      <c r="C237" s="7">
        <v>4</v>
      </c>
      <c r="D237" s="8">
        <v>0.1041785917082881</v>
      </c>
      <c r="E237" s="9">
        <f>IF(D237&gt;0.2000001,"BREACH","ok")</f>
        <v>0</v>
      </c>
      <c r="F237" s="10">
        <f>D237*NAV!$B$3</f>
        <v>0</v>
      </c>
    </row>
    <row r="238" spans="1:6">
      <c r="A238" s="6">
        <v>45931</v>
      </c>
      <c r="B238" s="7" t="s">
        <v>85</v>
      </c>
      <c r="C238" s="7">
        <v>5</v>
      </c>
      <c r="D238" s="8">
        <v>0.09291935032346073</v>
      </c>
      <c r="E238" s="9">
        <f>IF(D238&gt;0.2000001,"BREACH","ok")</f>
        <v>0</v>
      </c>
      <c r="F238" s="10">
        <f>D238*NAV!$B$3</f>
        <v>0</v>
      </c>
    </row>
    <row r="239" spans="1:6">
      <c r="A239" s="6">
        <v>45931</v>
      </c>
      <c r="B239" s="7" t="s">
        <v>169</v>
      </c>
      <c r="C239" s="7">
        <v>6</v>
      </c>
      <c r="D239" s="8">
        <v>0.08587664139254204</v>
      </c>
      <c r="E239" s="9">
        <f>IF(D239&gt;0.2000001,"BREACH","ok")</f>
        <v>0</v>
      </c>
      <c r="F239" s="10">
        <f>D239*NAV!$B$3</f>
        <v>0</v>
      </c>
    </row>
    <row r="240" spans="1:6">
      <c r="A240" s="6">
        <v>45931</v>
      </c>
      <c r="B240" s="7" t="s">
        <v>161</v>
      </c>
      <c r="C240" s="7">
        <v>7</v>
      </c>
      <c r="D240" s="8">
        <v>0.08352181550466276</v>
      </c>
      <c r="E240" s="9">
        <f>IF(D240&gt;0.2000001,"BREACH","ok")</f>
        <v>0</v>
      </c>
      <c r="F240" s="10">
        <f>D240*NAV!$B$3</f>
        <v>0</v>
      </c>
    </row>
    <row r="241" spans="1:6">
      <c r="A241" s="6">
        <v>45931</v>
      </c>
      <c r="B241" s="7" t="s">
        <v>170</v>
      </c>
      <c r="C241" s="7">
        <v>8</v>
      </c>
      <c r="D241" s="8">
        <v>0.08297954438063121</v>
      </c>
      <c r="E241" s="9">
        <f>IF(D241&gt;0.2000001,"BREACH","ok")</f>
        <v>0</v>
      </c>
      <c r="F241" s="10">
        <f>D241*NAV!$B$3</f>
        <v>0</v>
      </c>
    </row>
    <row r="242" spans="1:6">
      <c r="A242" s="6">
        <v>45931</v>
      </c>
      <c r="B242" s="7" t="s">
        <v>163</v>
      </c>
      <c r="C242" s="7">
        <v>9</v>
      </c>
      <c r="D242" s="8">
        <v>0.08122936728503868</v>
      </c>
      <c r="E242" s="9">
        <f>IF(D242&gt;0.2000001,"BREACH","ok")</f>
        <v>0</v>
      </c>
      <c r="F242" s="10">
        <f>D242*NAV!$B$3</f>
        <v>0</v>
      </c>
    </row>
    <row r="243" spans="1:6">
      <c r="A243" s="6">
        <v>45931</v>
      </c>
      <c r="B243" s="7" t="s">
        <v>171</v>
      </c>
      <c r="C243" s="7">
        <v>10</v>
      </c>
      <c r="D243" s="8">
        <v>0.0802411487533541</v>
      </c>
      <c r="E243" s="9">
        <f>IF(D243&gt;0.2000001,"BREACH","ok")</f>
        <v>0</v>
      </c>
      <c r="F243" s="10">
        <f>D243*NAV!$B$3</f>
        <v>0</v>
      </c>
    </row>
    <row r="244" spans="1:6">
      <c r="B244" s="3" t="s">
        <v>84</v>
      </c>
      <c r="C244" s="11">
        <f>COUNT(C234:C243)</f>
        <v>0</v>
      </c>
      <c r="D244" s="12">
        <f>SUM(D234:D243)</f>
        <v>0</v>
      </c>
      <c r="E244" s="11">
        <f>IF(AND(ABS(D244-1)&lt;0.0001,C244&lt;=10),"PASS","FAIL")</f>
        <v>0</v>
      </c>
    </row>
    <row r="247" spans="1:6">
      <c r="A247" s="2" t="s">
        <v>172</v>
      </c>
    </row>
  </sheetData>
  <mergeCells count="2">
    <mergeCell ref="A1:J1"/>
    <mergeCell ref="A2:J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26"/>
  <sheetViews>
    <sheetView workbookViewId="0">
      <pane ySplit="4" topLeftCell="A5" activePane="bottomLeft" state="frozen"/>
      <selection pane="bottomLeft"/>
    </sheetView>
  </sheetViews>
  <sheetFormatPr defaultRowHeight="15"/>
  <cols>
    <col min="1" max="1" width="12.7109375" customWidth="1"/>
    <col min="2" max="2" width="16.7109375" customWidth="1"/>
    <col min="3" max="3" width="7.7109375" customWidth="1"/>
    <col min="4" max="5" width="13.7109375" customWidth="1"/>
    <col min="6" max="8" width="18.7109375" customWidth="1"/>
    <col min="9" max="9" width="10.7109375" customWidth="1"/>
    <col min="10" max="11" width="20.7109375" customWidth="1"/>
  </cols>
  <sheetData>
    <row r="1" spans="1:11" ht="22" customHeight="1">
      <c r="A1" s="1" t="s">
        <v>173</v>
      </c>
      <c r="B1" s="1"/>
      <c r="C1" s="1"/>
      <c r="D1" s="1"/>
      <c r="E1" s="1"/>
      <c r="F1" s="1"/>
      <c r="G1" s="1"/>
      <c r="H1" s="1"/>
      <c r="I1" s="1"/>
      <c r="J1" s="1"/>
    </row>
    <row r="2" spans="1:11" ht="26" customHeight="1">
      <c r="A2" s="2" t="s">
        <v>174</v>
      </c>
      <c r="B2" s="2"/>
      <c r="C2" s="2"/>
      <c r="D2" s="2"/>
      <c r="E2" s="2"/>
      <c r="F2" s="2"/>
      <c r="G2" s="2"/>
      <c r="H2" s="2"/>
      <c r="I2" s="2"/>
      <c r="J2" s="2"/>
    </row>
    <row r="3" spans="1:11">
      <c r="A3" s="2"/>
      <c r="B3" s="2"/>
      <c r="C3" s="2"/>
      <c r="D3" s="2"/>
      <c r="E3" s="2"/>
      <c r="F3" s="2"/>
      <c r="G3" s="2"/>
      <c r="H3" s="2"/>
      <c r="I3" s="2"/>
      <c r="J3" s="2"/>
    </row>
    <row r="4" spans="1:11">
      <c r="J4" s="3" t="s">
        <v>175</v>
      </c>
      <c r="K4" s="13">
        <v>0.001</v>
      </c>
    </row>
    <row r="5" spans="1:11">
      <c r="A5" s="5" t="s">
        <v>176</v>
      </c>
      <c r="B5" s="5" t="s">
        <v>69</v>
      </c>
      <c r="C5" s="5" t="s">
        <v>177</v>
      </c>
      <c r="D5" s="5" t="s">
        <v>178</v>
      </c>
      <c r="E5" s="5" t="s">
        <v>179</v>
      </c>
      <c r="F5" s="5" t="s">
        <v>180</v>
      </c>
      <c r="G5" s="5" t="s">
        <v>181</v>
      </c>
      <c r="H5" s="5" t="s">
        <v>182</v>
      </c>
      <c r="I5" s="5" t="s">
        <v>183</v>
      </c>
    </row>
    <row r="6" spans="1:11">
      <c r="A6" s="6">
        <v>44197</v>
      </c>
      <c r="B6" s="7" t="s">
        <v>79</v>
      </c>
      <c r="C6" s="7" t="s">
        <v>184</v>
      </c>
      <c r="D6" s="14">
        <v>298.7133433043443</v>
      </c>
      <c r="E6" s="14">
        <v>3439.95703125</v>
      </c>
      <c r="F6" s="14">
        <v>1027561.065627974</v>
      </c>
      <c r="G6" s="15">
        <f>F6*$K$4</f>
        <v>0</v>
      </c>
      <c r="H6" s="14">
        <v>1027.561065627975</v>
      </c>
      <c r="I6" s="9">
        <f>IF(ABS(G6-H6)&lt;0.01,"ok","DIFF")</f>
        <v>0</v>
      </c>
    </row>
    <row r="7" spans="1:11">
      <c r="A7" s="6">
        <v>44197</v>
      </c>
      <c r="B7" s="7" t="s">
        <v>74</v>
      </c>
      <c r="C7" s="7" t="s">
        <v>184</v>
      </c>
      <c r="D7" s="14">
        <v>329.1427413018496</v>
      </c>
      <c r="E7" s="14">
        <v>3718.387939453125</v>
      </c>
      <c r="F7" s="14">
        <v>1223880.399615337</v>
      </c>
      <c r="G7" s="15">
        <f>F7*$K$4</f>
        <v>0</v>
      </c>
      <c r="H7" s="14">
        <v>1223.880399615337</v>
      </c>
      <c r="I7" s="9">
        <f>IF(ABS(G7-H7)&lt;0.01,"ok","DIFF")</f>
        <v>0</v>
      </c>
    </row>
    <row r="8" spans="1:11">
      <c r="A8" s="6">
        <v>44197</v>
      </c>
      <c r="B8" s="7" t="s">
        <v>83</v>
      </c>
      <c r="C8" s="7" t="s">
        <v>184</v>
      </c>
      <c r="D8" s="14">
        <v>517.5481571299225</v>
      </c>
      <c r="E8" s="14">
        <v>1512.70263671875</v>
      </c>
      <c r="F8" s="14">
        <v>782896.4619193637</v>
      </c>
      <c r="G8" s="15">
        <f>F8*$K$4</f>
        <v>0</v>
      </c>
      <c r="H8" s="14">
        <v>782.8964619193637</v>
      </c>
      <c r="I8" s="9">
        <f>IF(ABS(G8-H8)&lt;0.01,"ok","DIFF")</f>
        <v>0</v>
      </c>
    </row>
    <row r="9" spans="1:11">
      <c r="A9" s="6">
        <v>44197</v>
      </c>
      <c r="B9" s="7" t="s">
        <v>78</v>
      </c>
      <c r="C9" s="7" t="s">
        <v>184</v>
      </c>
      <c r="D9" s="14">
        <v>965.3890460215882</v>
      </c>
      <c r="E9" s="14">
        <v>1070.55078125</v>
      </c>
      <c r="F9" s="14">
        <v>1033497.997428603</v>
      </c>
      <c r="G9" s="15">
        <f>F9*$K$4</f>
        <v>0</v>
      </c>
      <c r="H9" s="14">
        <v>1033.497997428603</v>
      </c>
      <c r="I9" s="9">
        <f>IF(ABS(G9-H9)&lt;0.01,"ok","DIFF")</f>
        <v>0</v>
      </c>
    </row>
    <row r="10" spans="1:11">
      <c r="A10" s="6">
        <v>44197</v>
      </c>
      <c r="B10" s="7" t="s">
        <v>76</v>
      </c>
      <c r="C10" s="7" t="s">
        <v>184</v>
      </c>
      <c r="D10" s="14">
        <v>1051.566867386947</v>
      </c>
      <c r="E10" s="14">
        <v>1086.097290039062</v>
      </c>
      <c r="F10" s="14">
        <v>1142103.92496383</v>
      </c>
      <c r="G10" s="15">
        <f>F10*$K$4</f>
        <v>0</v>
      </c>
      <c r="H10" s="14">
        <v>1142.10392496383</v>
      </c>
      <c r="I10" s="9">
        <f>IF(ABS(G10-H10)&lt;0.01,"ok","DIFF")</f>
        <v>0</v>
      </c>
    </row>
    <row r="11" spans="1:11">
      <c r="A11" s="6">
        <v>44197</v>
      </c>
      <c r="B11" s="7" t="s">
        <v>77</v>
      </c>
      <c r="C11" s="7" t="s">
        <v>184</v>
      </c>
      <c r="D11" s="14">
        <v>1491.3432954946</v>
      </c>
      <c r="E11" s="14">
        <v>713.7733764648438</v>
      </c>
      <c r="F11" s="14">
        <v>1064481.139493388</v>
      </c>
      <c r="G11" s="15">
        <f>F11*$K$4</f>
        <v>0</v>
      </c>
      <c r="H11" s="14">
        <v>1064.481139493388</v>
      </c>
      <c r="I11" s="9">
        <f>IF(ABS(G11-H11)&lt;0.01,"ok","DIFF")</f>
        <v>0</v>
      </c>
    </row>
    <row r="12" spans="1:11">
      <c r="A12" s="6">
        <v>44197</v>
      </c>
      <c r="B12" s="7" t="s">
        <v>75</v>
      </c>
      <c r="C12" s="7" t="s">
        <v>184</v>
      </c>
      <c r="D12" s="14">
        <v>1522.881922989831</v>
      </c>
      <c r="E12" s="14">
        <v>751.7261352539062</v>
      </c>
      <c r="F12" s="14">
        <v>1144790.142417182</v>
      </c>
      <c r="G12" s="15">
        <f>F12*$K$4</f>
        <v>0</v>
      </c>
      <c r="H12" s="14">
        <v>1144.790142417183</v>
      </c>
      <c r="I12" s="9">
        <f>IF(ABS(G12-H12)&lt;0.01,"ok","DIFF")</f>
        <v>0</v>
      </c>
    </row>
    <row r="13" spans="1:11">
      <c r="A13" s="6">
        <v>44197</v>
      </c>
      <c r="B13" s="7" t="s">
        <v>82</v>
      </c>
      <c r="C13" s="7" t="s">
        <v>184</v>
      </c>
      <c r="D13" s="14">
        <v>2247.413061626535</v>
      </c>
      <c r="E13" s="14">
        <v>352.177490234375</v>
      </c>
      <c r="F13" s="14">
        <v>791488.2915635859</v>
      </c>
      <c r="G13" s="15">
        <f>F13*$K$4</f>
        <v>0</v>
      </c>
      <c r="H13" s="14">
        <v>791.4882915635859</v>
      </c>
      <c r="I13" s="9">
        <f>IF(ABS(G13-H13)&lt;0.01,"ok","DIFF")</f>
        <v>0</v>
      </c>
    </row>
    <row r="14" spans="1:11">
      <c r="A14" s="6">
        <v>44197</v>
      </c>
      <c r="B14" s="7" t="s">
        <v>81</v>
      </c>
      <c r="C14" s="7" t="s">
        <v>184</v>
      </c>
      <c r="D14" s="14">
        <v>2414.455048657803</v>
      </c>
      <c r="E14" s="14">
        <v>347.1061401367188</v>
      </c>
      <c r="F14" s="14">
        <v>838072.1724732235</v>
      </c>
      <c r="G14" s="15">
        <f>F14*$K$4</f>
        <v>0</v>
      </c>
      <c r="H14" s="14">
        <v>838.0721724732235</v>
      </c>
      <c r="I14" s="9">
        <f>IF(ABS(G14-H14)&lt;0.01,"ok","DIFF")</f>
        <v>0</v>
      </c>
    </row>
    <row r="15" spans="1:11">
      <c r="A15" s="6">
        <v>44197</v>
      </c>
      <c r="B15" s="7" t="s">
        <v>80</v>
      </c>
      <c r="C15" s="7" t="s">
        <v>184</v>
      </c>
      <c r="D15" s="14">
        <v>3754.571674030961</v>
      </c>
      <c r="E15" s="14">
        <v>250.6912841796875</v>
      </c>
      <c r="F15" s="14">
        <v>941238.3945075007</v>
      </c>
      <c r="G15" s="15">
        <f>F15*$K$4</f>
        <v>0</v>
      </c>
      <c r="H15" s="14">
        <v>941.2383945075007</v>
      </c>
      <c r="I15" s="9">
        <f>IF(ABS(G15-H15)&lt;0.01,"ok","DIFF")</f>
        <v>0</v>
      </c>
    </row>
    <row r="16" spans="1:11">
      <c r="A16" s="6">
        <v>44287</v>
      </c>
      <c r="B16" s="7" t="s">
        <v>81</v>
      </c>
      <c r="C16" s="7" t="s">
        <v>185</v>
      </c>
      <c r="D16" s="14">
        <v>2414.455048657803</v>
      </c>
      <c r="E16" s="14">
        <v>359.2146606445312</v>
      </c>
      <c r="F16" s="14">
        <v>867307.650945088</v>
      </c>
      <c r="G16" s="15">
        <f>F16*$K$4</f>
        <v>0</v>
      </c>
      <c r="H16" s="14">
        <v>867.3076509450881</v>
      </c>
      <c r="I16" s="9">
        <f>IF(ABS(G16-H16)&lt;0.01,"ok","DIFF")</f>
        <v>0</v>
      </c>
    </row>
    <row r="17" spans="1:9">
      <c r="A17" s="6">
        <v>44287</v>
      </c>
      <c r="B17" s="7" t="s">
        <v>82</v>
      </c>
      <c r="C17" s="7" t="s">
        <v>185</v>
      </c>
      <c r="D17" s="14">
        <v>2247.413061626535</v>
      </c>
      <c r="E17" s="14">
        <v>305.9441833496094</v>
      </c>
      <c r="F17" s="14">
        <v>687582.9537885756</v>
      </c>
      <c r="G17" s="15">
        <f>F17*$K$4</f>
        <v>0</v>
      </c>
      <c r="H17" s="14">
        <v>687.5829537885757</v>
      </c>
      <c r="I17" s="9">
        <f>IF(ABS(G17-H17)&lt;0.01,"ok","DIFF")</f>
        <v>0</v>
      </c>
    </row>
    <row r="18" spans="1:9">
      <c r="A18" s="6">
        <v>44287</v>
      </c>
      <c r="B18" s="7" t="s">
        <v>75</v>
      </c>
      <c r="C18" s="7" t="s">
        <v>185</v>
      </c>
      <c r="D18" s="14">
        <v>1522.881922989831</v>
      </c>
      <c r="E18" s="14">
        <v>796.1174926757812</v>
      </c>
      <c r="F18" s="14">
        <v>1212392.938171936</v>
      </c>
      <c r="G18" s="15">
        <f>F18*$K$4</f>
        <v>0</v>
      </c>
      <c r="H18" s="14">
        <v>1212.392938171937</v>
      </c>
      <c r="I18" s="9">
        <f>IF(ABS(G18-H18)&lt;0.01,"ok","DIFF")</f>
        <v>0</v>
      </c>
    </row>
    <row r="19" spans="1:9">
      <c r="A19" s="6">
        <v>44287</v>
      </c>
      <c r="B19" s="7" t="s">
        <v>77</v>
      </c>
      <c r="C19" s="7" t="s">
        <v>185</v>
      </c>
      <c r="D19" s="14">
        <v>1491.3432954946</v>
      </c>
      <c r="E19" s="14">
        <v>938.3748168945312</v>
      </c>
      <c r="F19" s="14">
        <v>1399438.991836632</v>
      </c>
      <c r="G19" s="15">
        <f>F19*$K$4</f>
        <v>0</v>
      </c>
      <c r="H19" s="14">
        <v>1399.438991836632</v>
      </c>
      <c r="I19" s="9">
        <f>IF(ABS(G19-H19)&lt;0.01,"ok","DIFF")</f>
        <v>0</v>
      </c>
    </row>
    <row r="20" spans="1:9">
      <c r="A20" s="6">
        <v>44287</v>
      </c>
      <c r="B20" s="7" t="s">
        <v>78</v>
      </c>
      <c r="C20" s="7" t="s">
        <v>185</v>
      </c>
      <c r="D20" s="14">
        <v>965.3890460215882</v>
      </c>
      <c r="E20" s="14">
        <v>924.1882934570312</v>
      </c>
      <c r="F20" s="14">
        <v>892201.254964803</v>
      </c>
      <c r="G20" s="15">
        <f>F20*$K$4</f>
        <v>0</v>
      </c>
      <c r="H20" s="14">
        <v>892.2012549648031</v>
      </c>
      <c r="I20" s="9">
        <f>IF(ABS(G20-H20)&lt;0.01,"ok","DIFF")</f>
        <v>0</v>
      </c>
    </row>
    <row r="21" spans="1:9">
      <c r="A21" s="6">
        <v>44287</v>
      </c>
      <c r="B21" s="7" t="s">
        <v>83</v>
      </c>
      <c r="C21" s="7" t="s">
        <v>185</v>
      </c>
      <c r="D21" s="14">
        <v>517.5481571299225</v>
      </c>
      <c r="E21" s="14">
        <v>2249.058837890625</v>
      </c>
      <c r="F21" s="14">
        <v>1163996.256827058</v>
      </c>
      <c r="G21" s="15">
        <f>F21*$K$4</f>
        <v>0</v>
      </c>
      <c r="H21" s="14">
        <v>1163.996256827058</v>
      </c>
      <c r="I21" s="9">
        <f>IF(ABS(G21-H21)&lt;0.01,"ok","DIFF")</f>
        <v>0</v>
      </c>
    </row>
    <row r="22" spans="1:9">
      <c r="A22" s="6">
        <v>44287</v>
      </c>
      <c r="B22" s="7" t="s">
        <v>74</v>
      </c>
      <c r="C22" s="7" t="s">
        <v>185</v>
      </c>
      <c r="D22" s="14">
        <v>329.1427413018496</v>
      </c>
      <c r="E22" s="14">
        <v>3493.345947265625</v>
      </c>
      <c r="F22" s="14">
        <v>1149809.461398714</v>
      </c>
      <c r="G22" s="15">
        <f>F22*$K$4</f>
        <v>0</v>
      </c>
      <c r="H22" s="14">
        <v>1149.809461398714</v>
      </c>
      <c r="I22" s="9">
        <f>IF(ABS(G22-H22)&lt;0.01,"ok","DIFF")</f>
        <v>0</v>
      </c>
    </row>
    <row r="23" spans="1:9">
      <c r="A23" s="6">
        <v>44287</v>
      </c>
      <c r="B23" s="7" t="s">
        <v>80</v>
      </c>
      <c r="C23" s="7" t="s">
        <v>185</v>
      </c>
      <c r="D23" s="14">
        <v>218.5032232438648</v>
      </c>
      <c r="E23" s="14">
        <v>309.190673828125</v>
      </c>
      <c r="F23" s="14">
        <v>67559.15882838778</v>
      </c>
      <c r="G23" s="15">
        <f>F23*$K$4</f>
        <v>0</v>
      </c>
      <c r="H23" s="14">
        <v>67.55915882838778</v>
      </c>
      <c r="I23" s="9">
        <f>IF(ABS(G23-H23)&lt;0.01,"ok","DIFF")</f>
        <v>0</v>
      </c>
    </row>
    <row r="24" spans="1:9">
      <c r="A24" s="6">
        <v>44287</v>
      </c>
      <c r="B24" s="7" t="s">
        <v>79</v>
      </c>
      <c r="C24" s="7" t="s">
        <v>185</v>
      </c>
      <c r="D24" s="14">
        <v>1.010896821496317</v>
      </c>
      <c r="E24" s="14">
        <v>3824.46826171875</v>
      </c>
      <c r="F24" s="14">
        <v>3866.142809685029</v>
      </c>
      <c r="G24" s="15">
        <f>F24*$K$4</f>
        <v>0</v>
      </c>
      <c r="H24" s="14">
        <v>3.866142809685029</v>
      </c>
      <c r="I24" s="9">
        <f>IF(ABS(G24-H24)&lt;0.01,"ok","DIFF")</f>
        <v>0</v>
      </c>
    </row>
    <row r="25" spans="1:9">
      <c r="A25" s="6">
        <v>44287</v>
      </c>
      <c r="B25" s="7" t="s">
        <v>76</v>
      </c>
      <c r="C25" s="7" t="s">
        <v>184</v>
      </c>
      <c r="D25" s="14">
        <v>140.1258838996964</v>
      </c>
      <c r="E25" s="14">
        <v>1193.59130859375</v>
      </c>
      <c r="F25" s="14">
        <v>167253.0371316945</v>
      </c>
      <c r="G25" s="15">
        <f>F25*$K$4</f>
        <v>0</v>
      </c>
      <c r="H25" s="14">
        <v>167.2530371316945</v>
      </c>
      <c r="I25" s="9">
        <f>IF(ABS(G25-H25)&lt;0.01,"ok","DIFF")</f>
        <v>0</v>
      </c>
    </row>
    <row r="26" spans="1:9">
      <c r="A26" s="6">
        <v>44287</v>
      </c>
      <c r="B26" s="7" t="s">
        <v>87</v>
      </c>
      <c r="C26" s="7" t="s">
        <v>184</v>
      </c>
      <c r="D26" s="14">
        <v>276.7890760363261</v>
      </c>
      <c r="E26" s="14">
        <v>3580.247314453125</v>
      </c>
      <c r="F26" s="14">
        <v>990973.3461490183</v>
      </c>
      <c r="G26" s="15">
        <f>F26*$K$4</f>
        <v>0</v>
      </c>
      <c r="H26" s="14">
        <v>990.9733461490183</v>
      </c>
      <c r="I26" s="9">
        <f>IF(ABS(G26-H26)&lt;0.01,"ok","DIFF")</f>
        <v>0</v>
      </c>
    </row>
    <row r="27" spans="1:9">
      <c r="A27" s="6">
        <v>44287</v>
      </c>
      <c r="B27" s="7" t="s">
        <v>85</v>
      </c>
      <c r="C27" s="7" t="s">
        <v>184</v>
      </c>
      <c r="D27" s="14">
        <v>436.8179272443037</v>
      </c>
      <c r="E27" s="14">
        <v>2844.623046875</v>
      </c>
      <c r="F27" s="14">
        <v>1242582.343127313</v>
      </c>
      <c r="G27" s="15">
        <f>F27*$K$4</f>
        <v>0</v>
      </c>
      <c r="H27" s="14">
        <v>1242.582343127313</v>
      </c>
      <c r="I27" s="9">
        <f>IF(ABS(G27-H27)&lt;0.01,"ok","DIFF")</f>
        <v>0</v>
      </c>
    </row>
    <row r="28" spans="1:9">
      <c r="A28" s="6">
        <v>44287</v>
      </c>
      <c r="B28" s="7" t="s">
        <v>91</v>
      </c>
      <c r="C28" s="7" t="s">
        <v>184</v>
      </c>
      <c r="D28" s="14">
        <v>807.1125006601478</v>
      </c>
      <c r="E28" s="14">
        <v>1160.050048828125</v>
      </c>
      <c r="F28" s="14">
        <v>936290.8958005946</v>
      </c>
      <c r="G28" s="15">
        <f>F28*$K$4</f>
        <v>0</v>
      </c>
      <c r="H28" s="14">
        <v>936.2908958005946</v>
      </c>
      <c r="I28" s="9">
        <f>IF(ABS(G28-H28)&lt;0.01,"ok","DIFF")</f>
        <v>0</v>
      </c>
    </row>
    <row r="29" spans="1:9">
      <c r="A29" s="6">
        <v>44287</v>
      </c>
      <c r="B29" s="7" t="s">
        <v>90</v>
      </c>
      <c r="C29" s="7" t="s">
        <v>184</v>
      </c>
      <c r="D29" s="14">
        <v>1167.062960358498</v>
      </c>
      <c r="E29" s="14">
        <v>826.8936767578125</v>
      </c>
      <c r="F29" s="14">
        <v>965036.9822986958</v>
      </c>
      <c r="G29" s="15">
        <f>F29*$K$4</f>
        <v>0</v>
      </c>
      <c r="H29" s="14">
        <v>965.0369822986959</v>
      </c>
      <c r="I29" s="9">
        <f>IF(ABS(G29-H29)&lt;0.01,"ok","DIFF")</f>
        <v>0</v>
      </c>
    </row>
    <row r="30" spans="1:9">
      <c r="A30" s="6">
        <v>44287</v>
      </c>
      <c r="B30" s="7" t="s">
        <v>89</v>
      </c>
      <c r="C30" s="7" t="s">
        <v>184</v>
      </c>
      <c r="D30" s="14">
        <v>1360.420904169485</v>
      </c>
      <c r="E30" s="14">
        <v>722.6001586914062</v>
      </c>
      <c r="F30" s="14">
        <v>983040.361239976</v>
      </c>
      <c r="G30" s="15">
        <f>F30*$K$4</f>
        <v>0</v>
      </c>
      <c r="H30" s="14">
        <v>983.0403612399761</v>
      </c>
      <c r="I30" s="9">
        <f>IF(ABS(G30-H30)&lt;0.01,"ok","DIFF")</f>
        <v>0</v>
      </c>
    </row>
    <row r="31" spans="1:9">
      <c r="A31" s="6">
        <v>44287</v>
      </c>
      <c r="B31" s="7" t="s">
        <v>88</v>
      </c>
      <c r="C31" s="7" t="s">
        <v>184</v>
      </c>
      <c r="D31" s="14">
        <v>4051.784933626258</v>
      </c>
      <c r="E31" s="14">
        <v>243.3653564453125</v>
      </c>
      <c r="F31" s="14">
        <v>986064.0846117012</v>
      </c>
      <c r="G31" s="15">
        <f>F31*$K$4</f>
        <v>0</v>
      </c>
      <c r="H31" s="14">
        <v>986.0640846117012</v>
      </c>
      <c r="I31" s="9">
        <f>IF(ABS(G31-H31)&lt;0.01,"ok","DIFF")</f>
        <v>0</v>
      </c>
    </row>
    <row r="32" spans="1:9">
      <c r="A32" s="6">
        <v>44287</v>
      </c>
      <c r="B32" s="7" t="s">
        <v>86</v>
      </c>
      <c r="C32" s="7" t="s">
        <v>184</v>
      </c>
      <c r="D32" s="14">
        <v>10874.78194576314</v>
      </c>
      <c r="E32" s="14">
        <v>106.4886016845703</v>
      </c>
      <c r="F32" s="14">
        <v>1158040.323028928</v>
      </c>
      <c r="G32" s="15">
        <f>F32*$K$4</f>
        <v>0</v>
      </c>
      <c r="H32" s="14">
        <v>1158.040323028928</v>
      </c>
      <c r="I32" s="9">
        <f>IF(ABS(G32-H32)&lt;0.01,"ok","DIFF")</f>
        <v>0</v>
      </c>
    </row>
    <row r="33" spans="1:9">
      <c r="A33" s="6">
        <v>44378</v>
      </c>
      <c r="B33" s="7" t="s">
        <v>88</v>
      </c>
      <c r="C33" s="7" t="s">
        <v>185</v>
      </c>
      <c r="D33" s="14">
        <v>4051.784933626258</v>
      </c>
      <c r="E33" s="14">
        <v>282.4295349121094</v>
      </c>
      <c r="F33" s="14">
        <v>1144343.734367956</v>
      </c>
      <c r="G33" s="15">
        <f>F33*$K$4</f>
        <v>0</v>
      </c>
      <c r="H33" s="14">
        <v>1144.343734367956</v>
      </c>
      <c r="I33" s="9">
        <f>IF(ABS(G33-H33)&lt;0.01,"ok","DIFF")</f>
        <v>0</v>
      </c>
    </row>
    <row r="34" spans="1:9">
      <c r="A34" s="6">
        <v>44378</v>
      </c>
      <c r="B34" s="7" t="s">
        <v>80</v>
      </c>
      <c r="C34" s="7" t="s">
        <v>185</v>
      </c>
      <c r="D34" s="14">
        <v>1369.779489165149</v>
      </c>
      <c r="E34" s="14">
        <v>463.0432739257812</v>
      </c>
      <c r="F34" s="14">
        <v>634267.1792194147</v>
      </c>
      <c r="G34" s="15">
        <f>F34*$K$4</f>
        <v>0</v>
      </c>
      <c r="H34" s="14">
        <v>634.2671792194147</v>
      </c>
      <c r="I34" s="9">
        <f>IF(ABS(G34-H34)&lt;0.01,"ok","DIFF")</f>
        <v>0</v>
      </c>
    </row>
    <row r="35" spans="1:9">
      <c r="A35" s="6">
        <v>44378</v>
      </c>
      <c r="B35" s="7" t="s">
        <v>89</v>
      </c>
      <c r="C35" s="7" t="s">
        <v>185</v>
      </c>
      <c r="D35" s="14">
        <v>1360.420904169485</v>
      </c>
      <c r="E35" s="14">
        <v>732.5116577148438</v>
      </c>
      <c r="F35" s="14">
        <v>996524.1717031158</v>
      </c>
      <c r="G35" s="15">
        <f>F35*$K$4</f>
        <v>0</v>
      </c>
      <c r="H35" s="14">
        <v>996.5241717031158</v>
      </c>
      <c r="I35" s="9">
        <f>IF(ABS(G35-H35)&lt;0.01,"ok","DIFF")</f>
        <v>0</v>
      </c>
    </row>
    <row r="36" spans="1:9">
      <c r="A36" s="6">
        <v>44378</v>
      </c>
      <c r="B36" s="7" t="s">
        <v>86</v>
      </c>
      <c r="C36" s="7" t="s">
        <v>185</v>
      </c>
      <c r="D36" s="14">
        <v>1098.658541787077</v>
      </c>
      <c r="E36" s="14">
        <v>116.7216873168945</v>
      </c>
      <c r="F36" s="14">
        <v>128237.2787825066</v>
      </c>
      <c r="G36" s="15">
        <f>F36*$K$4</f>
        <v>0</v>
      </c>
      <c r="H36" s="14">
        <v>128.2372787825066</v>
      </c>
      <c r="I36" s="9">
        <f>IF(ABS(G36-H36)&lt;0.01,"ok","DIFF")</f>
        <v>0</v>
      </c>
    </row>
    <row r="37" spans="1:9">
      <c r="A37" s="6">
        <v>44378</v>
      </c>
      <c r="B37" s="7" t="s">
        <v>91</v>
      </c>
      <c r="C37" s="7" t="s">
        <v>185</v>
      </c>
      <c r="D37" s="14">
        <v>807.1125006601478</v>
      </c>
      <c r="E37" s="14">
        <v>1068.699951171875</v>
      </c>
      <c r="F37" s="14">
        <v>862561.0900457099</v>
      </c>
      <c r="G37" s="15">
        <f>F37*$K$4</f>
        <v>0</v>
      </c>
      <c r="H37" s="14">
        <v>862.5610900457099</v>
      </c>
      <c r="I37" s="9">
        <f>IF(ABS(G37-H37)&lt;0.01,"ok","DIFF")</f>
        <v>0</v>
      </c>
    </row>
    <row r="38" spans="1:9">
      <c r="A38" s="6">
        <v>44378</v>
      </c>
      <c r="B38" s="7" t="s">
        <v>79</v>
      </c>
      <c r="C38" s="7" t="s">
        <v>185</v>
      </c>
      <c r="D38" s="14">
        <v>297.702446482848</v>
      </c>
      <c r="E38" s="14">
        <v>3758.2763671875</v>
      </c>
      <c r="F38" s="14">
        <v>1118848.069070389</v>
      </c>
      <c r="G38" s="15">
        <f>F38*$K$4</f>
        <v>0</v>
      </c>
      <c r="H38" s="14">
        <v>1118.848069070389</v>
      </c>
      <c r="I38" s="9">
        <f>IF(ABS(G38-H38)&lt;0.01,"ok","DIFF")</f>
        <v>0</v>
      </c>
    </row>
    <row r="39" spans="1:9">
      <c r="A39" s="6">
        <v>44378</v>
      </c>
      <c r="B39" s="7" t="s">
        <v>90</v>
      </c>
      <c r="C39" s="7" t="s">
        <v>185</v>
      </c>
      <c r="D39" s="14">
        <v>235.9744789486905</v>
      </c>
      <c r="E39" s="14">
        <v>1002.55419921875</v>
      </c>
      <c r="F39" s="14">
        <v>236577.2047784662</v>
      </c>
      <c r="G39" s="15">
        <f>F39*$K$4</f>
        <v>0</v>
      </c>
      <c r="H39" s="14">
        <v>236.5772047784662</v>
      </c>
      <c r="I39" s="9">
        <f>IF(ABS(G39-H39)&lt;0.01,"ok","DIFF")</f>
        <v>0</v>
      </c>
    </row>
    <row r="40" spans="1:9">
      <c r="A40" s="6">
        <v>44378</v>
      </c>
      <c r="B40" s="7" t="s">
        <v>87</v>
      </c>
      <c r="C40" s="7" t="s">
        <v>185</v>
      </c>
      <c r="D40" s="14">
        <v>48.55758202289118</v>
      </c>
      <c r="E40" s="14">
        <v>4401.90673828125</v>
      </c>
      <c r="F40" s="14">
        <v>213745.9475012092</v>
      </c>
      <c r="G40" s="15">
        <f>F40*$K$4</f>
        <v>0</v>
      </c>
      <c r="H40" s="14">
        <v>213.7459475012092</v>
      </c>
      <c r="I40" s="9">
        <f>IF(ABS(G40-H40)&lt;0.01,"ok","DIFF")</f>
        <v>0</v>
      </c>
    </row>
    <row r="41" spans="1:9">
      <c r="A41" s="6">
        <v>44378</v>
      </c>
      <c r="B41" s="7" t="s">
        <v>76</v>
      </c>
      <c r="C41" s="7" t="s">
        <v>184</v>
      </c>
      <c r="D41" s="14">
        <v>6.16219558631542</v>
      </c>
      <c r="E41" s="14">
        <v>1359.065551757812</v>
      </c>
      <c r="F41" s="14">
        <v>8374.827744555323</v>
      </c>
      <c r="G41" s="15">
        <f>F41*$K$4</f>
        <v>0</v>
      </c>
      <c r="H41" s="14">
        <v>8.374827744555324</v>
      </c>
      <c r="I41" s="9">
        <f>IF(ABS(G41-H41)&lt;0.01,"ok","DIFF")</f>
        <v>0</v>
      </c>
    </row>
    <row r="42" spans="1:9">
      <c r="A42" s="6">
        <v>44378</v>
      </c>
      <c r="B42" s="7" t="s">
        <v>85</v>
      </c>
      <c r="C42" s="7" t="s">
        <v>184</v>
      </c>
      <c r="D42" s="14">
        <v>34.48966282919923</v>
      </c>
      <c r="E42" s="14">
        <v>2780.5126953125</v>
      </c>
      <c r="F42" s="14">
        <v>95898.9453536361</v>
      </c>
      <c r="G42" s="15">
        <f>F42*$K$4</f>
        <v>0</v>
      </c>
      <c r="H42" s="14">
        <v>95.89894535363609</v>
      </c>
      <c r="I42" s="9">
        <f>IF(ABS(G42-H42)&lt;0.01,"ok","DIFF")</f>
        <v>0</v>
      </c>
    </row>
    <row r="43" spans="1:9">
      <c r="A43" s="6">
        <v>44378</v>
      </c>
      <c r="B43" s="7" t="s">
        <v>92</v>
      </c>
      <c r="C43" s="7" t="s">
        <v>184</v>
      </c>
      <c r="D43" s="14">
        <v>176.1291124996791</v>
      </c>
      <c r="E43" s="14">
        <v>8765.8359375</v>
      </c>
      <c r="F43" s="14">
        <v>1543918.903989667</v>
      </c>
      <c r="G43" s="15">
        <f>F43*$K$4</f>
        <v>0</v>
      </c>
      <c r="H43" s="14">
        <v>1543.918903989667</v>
      </c>
      <c r="I43" s="9">
        <f>IF(ABS(G43-H43)&lt;0.01,"ok","DIFF")</f>
        <v>0</v>
      </c>
    </row>
    <row r="44" spans="1:9">
      <c r="A44" s="6">
        <v>44378</v>
      </c>
      <c r="B44" s="7" t="s">
        <v>94</v>
      </c>
      <c r="C44" s="7" t="s">
        <v>184</v>
      </c>
      <c r="D44" s="14">
        <v>422.4227788593084</v>
      </c>
      <c r="E44" s="14">
        <v>2888.4931640625</v>
      </c>
      <c r="F44" s="14">
        <v>1220165.309079397</v>
      </c>
      <c r="G44" s="15">
        <f>F44*$K$4</f>
        <v>0</v>
      </c>
      <c r="H44" s="14">
        <v>1220.165309079398</v>
      </c>
      <c r="I44" s="9">
        <f>IF(ABS(G44-H44)&lt;0.01,"ok","DIFF")</f>
        <v>0</v>
      </c>
    </row>
    <row r="45" spans="1:9">
      <c r="A45" s="6">
        <v>44378</v>
      </c>
      <c r="B45" s="7" t="s">
        <v>95</v>
      </c>
      <c r="C45" s="7" t="s">
        <v>184</v>
      </c>
      <c r="D45" s="14">
        <v>562.7625184026158</v>
      </c>
      <c r="E45" s="14">
        <v>1893.982299804688</v>
      </c>
      <c r="F45" s="14">
        <v>1065862.248848064</v>
      </c>
      <c r="G45" s="15">
        <f>F45*$K$4</f>
        <v>0</v>
      </c>
      <c r="H45" s="14">
        <v>1065.862248848064</v>
      </c>
      <c r="I45" s="9">
        <f>IF(ABS(G45-H45)&lt;0.01,"ok","DIFF")</f>
        <v>0</v>
      </c>
    </row>
    <row r="46" spans="1:9">
      <c r="A46" s="6">
        <v>44378</v>
      </c>
      <c r="B46" s="7" t="s">
        <v>93</v>
      </c>
      <c r="C46" s="7" t="s">
        <v>184</v>
      </c>
      <c r="D46" s="14">
        <v>4245.501110784868</v>
      </c>
      <c r="E46" s="14">
        <v>327.4583740234375</v>
      </c>
      <c r="F46" s="14">
        <v>1390224.890652311</v>
      </c>
      <c r="G46" s="15">
        <f>F46*$K$4</f>
        <v>0</v>
      </c>
      <c r="H46" s="14">
        <v>1390.224890652311</v>
      </c>
      <c r="I46" s="9">
        <f>IF(ABS(G46-H46)&lt;0.01,"ok","DIFF")</f>
        <v>0</v>
      </c>
    </row>
    <row r="47" spans="1:9">
      <c r="A47" s="6">
        <v>44470</v>
      </c>
      <c r="B47" s="7" t="s">
        <v>86</v>
      </c>
      <c r="C47" s="7" t="s">
        <v>185</v>
      </c>
      <c r="D47" s="14">
        <v>2856.845086310471</v>
      </c>
      <c r="E47" s="14">
        <v>191.0527191162109</v>
      </c>
      <c r="F47" s="14">
        <v>545808.0218334018</v>
      </c>
      <c r="G47" s="15">
        <f>F47*$K$4</f>
        <v>0</v>
      </c>
      <c r="H47" s="14">
        <v>545.8080218334018</v>
      </c>
      <c r="I47" s="9">
        <f>IF(ABS(G47-H47)&lt;0.01,"ok","DIFF")</f>
        <v>0</v>
      </c>
    </row>
    <row r="48" spans="1:9">
      <c r="A48" s="6">
        <v>44470</v>
      </c>
      <c r="B48" s="7" t="s">
        <v>80</v>
      </c>
      <c r="C48" s="7" t="s">
        <v>185</v>
      </c>
      <c r="D48" s="14">
        <v>2166.288961621948</v>
      </c>
      <c r="E48" s="14">
        <v>612.4134521484375</v>
      </c>
      <c r="F48" s="14">
        <v>1326664.501337951</v>
      </c>
      <c r="G48" s="15">
        <f>F48*$K$4</f>
        <v>0</v>
      </c>
      <c r="H48" s="14">
        <v>1326.664501337951</v>
      </c>
      <c r="I48" s="9">
        <f>IF(ABS(G48-H48)&lt;0.01,"ok","DIFF")</f>
        <v>0</v>
      </c>
    </row>
    <row r="49" spans="1:9">
      <c r="A49" s="6">
        <v>44470</v>
      </c>
      <c r="B49" s="7" t="s">
        <v>76</v>
      </c>
      <c r="C49" s="7" t="s">
        <v>185</v>
      </c>
      <c r="D49" s="14">
        <v>1197.854946872959</v>
      </c>
      <c r="E49" s="14">
        <v>1450.299682617188</v>
      </c>
      <c r="F49" s="14">
        <v>1737248.649271281</v>
      </c>
      <c r="G49" s="15">
        <f>F49*$K$4</f>
        <v>0</v>
      </c>
      <c r="H49" s="14">
        <v>1737.248649271281</v>
      </c>
      <c r="I49" s="9">
        <f>IF(ABS(G49-H49)&lt;0.01,"ok","DIFF")</f>
        <v>0</v>
      </c>
    </row>
    <row r="50" spans="1:9">
      <c r="A50" s="6">
        <v>44470</v>
      </c>
      <c r="B50" s="7" t="s">
        <v>90</v>
      </c>
      <c r="C50" s="7" t="s">
        <v>185</v>
      </c>
      <c r="D50" s="14">
        <v>931.0884814098077</v>
      </c>
      <c r="E50" s="14">
        <v>926.281494140625</v>
      </c>
      <c r="F50" s="14">
        <v>862450.0297374022</v>
      </c>
      <c r="G50" s="15">
        <f>F50*$K$4</f>
        <v>0</v>
      </c>
      <c r="H50" s="14">
        <v>862.4500297374022</v>
      </c>
      <c r="I50" s="9">
        <f>IF(ABS(G50-H50)&lt;0.01,"ok","DIFF")</f>
        <v>0</v>
      </c>
    </row>
    <row r="51" spans="1:9">
      <c r="A51" s="6">
        <v>44470</v>
      </c>
      <c r="B51" s="7" t="s">
        <v>85</v>
      </c>
      <c r="C51" s="7" t="s">
        <v>185</v>
      </c>
      <c r="D51" s="14">
        <v>471.3075900735029</v>
      </c>
      <c r="E51" s="14">
        <v>3140.5966796875</v>
      </c>
      <c r="F51" s="14">
        <v>1480187.052496361</v>
      </c>
      <c r="G51" s="15">
        <f>F51*$K$4</f>
        <v>0</v>
      </c>
      <c r="H51" s="14">
        <v>1480.187052496361</v>
      </c>
      <c r="I51" s="9">
        <f>IF(ABS(G51-H51)&lt;0.01,"ok","DIFF")</f>
        <v>0</v>
      </c>
    </row>
    <row r="52" spans="1:9">
      <c r="A52" s="6">
        <v>44470</v>
      </c>
      <c r="B52" s="7" t="s">
        <v>94</v>
      </c>
      <c r="C52" s="7" t="s">
        <v>185</v>
      </c>
      <c r="D52" s="14">
        <v>422.4227788593084</v>
      </c>
      <c r="E52" s="14">
        <v>3245.91455078125</v>
      </c>
      <c r="F52" s="14">
        <v>1371148.244480879</v>
      </c>
      <c r="G52" s="15">
        <f>F52*$K$4</f>
        <v>0</v>
      </c>
      <c r="H52" s="14">
        <v>1371.148244480879</v>
      </c>
      <c r="I52" s="9">
        <f>IF(ABS(G52-H52)&lt;0.01,"ok","DIFF")</f>
        <v>0</v>
      </c>
    </row>
    <row r="53" spans="1:9">
      <c r="A53" s="6">
        <v>44470</v>
      </c>
      <c r="B53" s="7" t="s">
        <v>87</v>
      </c>
      <c r="C53" s="7" t="s">
        <v>185</v>
      </c>
      <c r="D53" s="14">
        <v>228.2314940134349</v>
      </c>
      <c r="E53" s="14">
        <v>4835.2041015625</v>
      </c>
      <c r="F53" s="14">
        <v>1103545.855959498</v>
      </c>
      <c r="G53" s="15">
        <f>F53*$K$4</f>
        <v>0</v>
      </c>
      <c r="H53" s="14">
        <v>1103.545855959498</v>
      </c>
      <c r="I53" s="9">
        <f>IF(ABS(G53-H53)&lt;0.01,"ok","DIFF")</f>
        <v>0</v>
      </c>
    </row>
    <row r="54" spans="1:9">
      <c r="A54" s="6">
        <v>44470</v>
      </c>
      <c r="B54" s="7" t="s">
        <v>92</v>
      </c>
      <c r="C54" s="7" t="s">
        <v>185</v>
      </c>
      <c r="D54" s="14">
        <v>176.1291124996791</v>
      </c>
      <c r="E54" s="14">
        <v>9558.595703125</v>
      </c>
      <c r="F54" s="14">
        <v>1683546.977934652</v>
      </c>
      <c r="G54" s="15">
        <f>F54*$K$4</f>
        <v>0</v>
      </c>
      <c r="H54" s="14">
        <v>1683.546977934652</v>
      </c>
      <c r="I54" s="9">
        <f>IF(ABS(G54-H54)&lt;0.01,"ok","DIFF")</f>
        <v>0</v>
      </c>
    </row>
    <row r="55" spans="1:9">
      <c r="A55" s="6">
        <v>44470</v>
      </c>
      <c r="B55" s="7" t="s">
        <v>95</v>
      </c>
      <c r="C55" s="7" t="s">
        <v>185</v>
      </c>
      <c r="D55" s="14">
        <v>15.63266190521585</v>
      </c>
      <c r="E55" s="14">
        <v>2697.706787109375</v>
      </c>
      <c r="F55" s="14">
        <v>42172.33812228699</v>
      </c>
      <c r="G55" s="15">
        <f>F55*$K$4</f>
        <v>0</v>
      </c>
      <c r="H55" s="14">
        <v>42.17233812228699</v>
      </c>
      <c r="I55" s="9">
        <f>IF(ABS(G55-H55)&lt;0.01,"ok","DIFF")</f>
        <v>0</v>
      </c>
    </row>
    <row r="56" spans="1:9">
      <c r="A56" s="6">
        <v>44470</v>
      </c>
      <c r="B56" s="7" t="s">
        <v>101</v>
      </c>
      <c r="C56" s="7" t="s">
        <v>184</v>
      </c>
      <c r="D56" s="14">
        <v>224.4461057162936</v>
      </c>
      <c r="E56" s="14">
        <v>5491.9013671875</v>
      </c>
      <c r="F56" s="14">
        <v>1232635.874843223</v>
      </c>
      <c r="G56" s="15">
        <f>F56*$K$4</f>
        <v>0</v>
      </c>
      <c r="H56" s="14">
        <v>1232.635874843223</v>
      </c>
      <c r="I56" s="9">
        <f>IF(ABS(G56-H56)&lt;0.01,"ok","DIFF")</f>
        <v>0</v>
      </c>
    </row>
    <row r="57" spans="1:9">
      <c r="A57" s="6">
        <v>44470</v>
      </c>
      <c r="B57" s="7" t="s">
        <v>102</v>
      </c>
      <c r="C57" s="7" t="s">
        <v>184</v>
      </c>
      <c r="D57" s="14">
        <v>280.6448547777932</v>
      </c>
      <c r="E57" s="14">
        <v>4375.81884765625</v>
      </c>
      <c r="F57" s="14">
        <v>1228051.045034419</v>
      </c>
      <c r="G57" s="15">
        <f>F57*$K$4</f>
        <v>0</v>
      </c>
      <c r="H57" s="14">
        <v>1228.051045034419</v>
      </c>
      <c r="I57" s="9">
        <f>IF(ABS(G57-H57)&lt;0.01,"ok","DIFF")</f>
        <v>0</v>
      </c>
    </row>
    <row r="58" spans="1:9">
      <c r="A58" s="6">
        <v>44470</v>
      </c>
      <c r="B58" s="7" t="s">
        <v>98</v>
      </c>
      <c r="C58" s="7" t="s">
        <v>184</v>
      </c>
      <c r="D58" s="14">
        <v>316.9870118880268</v>
      </c>
      <c r="E58" s="14">
        <v>4399.41015625</v>
      </c>
      <c r="F58" s="14">
        <v>1394555.879499525</v>
      </c>
      <c r="G58" s="15">
        <f>F58*$K$4</f>
        <v>0</v>
      </c>
      <c r="H58" s="14">
        <v>1394.555879499525</v>
      </c>
      <c r="I58" s="9">
        <f>IF(ABS(G58-H58)&lt;0.01,"ok","DIFF")</f>
        <v>0</v>
      </c>
    </row>
    <row r="59" spans="1:9">
      <c r="A59" s="6">
        <v>44470</v>
      </c>
      <c r="B59" s="7" t="s">
        <v>93</v>
      </c>
      <c r="C59" s="7" t="s">
        <v>184</v>
      </c>
      <c r="D59" s="14">
        <v>440.7241243589324</v>
      </c>
      <c r="E59" s="14">
        <v>387.0706787109375</v>
      </c>
      <c r="F59" s="14">
        <v>170591.3859398956</v>
      </c>
      <c r="G59" s="15">
        <f>F59*$K$4</f>
        <v>0</v>
      </c>
      <c r="H59" s="14">
        <v>170.5913859398956</v>
      </c>
      <c r="I59" s="9">
        <f>IF(ABS(G59-H59)&lt;0.01,"ok","DIFF")</f>
        <v>0</v>
      </c>
    </row>
    <row r="60" spans="1:9">
      <c r="A60" s="6">
        <v>44470</v>
      </c>
      <c r="B60" s="7" t="s">
        <v>97</v>
      </c>
      <c r="C60" s="7" t="s">
        <v>184</v>
      </c>
      <c r="D60" s="14">
        <v>776.4404580103643</v>
      </c>
      <c r="E60" s="14">
        <v>2182.76953125</v>
      </c>
      <c r="F60" s="14">
        <v>1694790.574574818</v>
      </c>
      <c r="G60" s="15">
        <f>F60*$K$4</f>
        <v>0</v>
      </c>
      <c r="H60" s="14">
        <v>1694.790574574818</v>
      </c>
      <c r="I60" s="9">
        <f>IF(ABS(G60-H60)&lt;0.01,"ok","DIFF")</f>
        <v>0</v>
      </c>
    </row>
    <row r="61" spans="1:9">
      <c r="A61" s="6">
        <v>44470</v>
      </c>
      <c r="B61" s="7" t="s">
        <v>99</v>
      </c>
      <c r="C61" s="7" t="s">
        <v>184</v>
      </c>
      <c r="D61" s="14">
        <v>2897.079538941855</v>
      </c>
      <c r="E61" s="14">
        <v>471.8984069824219</v>
      </c>
      <c r="F61" s="14">
        <v>1367127.21932803</v>
      </c>
      <c r="G61" s="15">
        <f>F61*$K$4</f>
        <v>0</v>
      </c>
      <c r="H61" s="14">
        <v>1367.127219328031</v>
      </c>
      <c r="I61" s="9">
        <f>IF(ABS(G61-H61)&lt;0.01,"ok","DIFF")</f>
        <v>0</v>
      </c>
    </row>
    <row r="62" spans="1:9">
      <c r="A62" s="6">
        <v>44470</v>
      </c>
      <c r="B62" s="7" t="s">
        <v>100</v>
      </c>
      <c r="C62" s="7" t="s">
        <v>184</v>
      </c>
      <c r="D62" s="14">
        <v>4287.521954713241</v>
      </c>
      <c r="E62" s="14">
        <v>299.908935546875</v>
      </c>
      <c r="F62" s="14">
        <v>1285866.145571905</v>
      </c>
      <c r="G62" s="15">
        <f>F62*$K$4</f>
        <v>0</v>
      </c>
      <c r="H62" s="14">
        <v>1285.866145571905</v>
      </c>
      <c r="I62" s="9">
        <f>IF(ABS(G62-H62)&lt;0.01,"ok","DIFF")</f>
        <v>0</v>
      </c>
    </row>
    <row r="63" spans="1:9">
      <c r="A63" s="6">
        <v>44470</v>
      </c>
      <c r="B63" s="7" t="s">
        <v>96</v>
      </c>
      <c r="C63" s="7" t="s">
        <v>184</v>
      </c>
      <c r="D63" s="14">
        <v>6052.610356388395</v>
      </c>
      <c r="E63" s="14">
        <v>290.5966491699219</v>
      </c>
      <c r="F63" s="14">
        <v>1758868.288297634</v>
      </c>
      <c r="G63" s="15">
        <f>F63*$K$4</f>
        <v>0</v>
      </c>
      <c r="H63" s="14">
        <v>1758.868288297634</v>
      </c>
      <c r="I63" s="9">
        <f>IF(ABS(G63-H63)&lt;0.01,"ok","DIFF")</f>
        <v>0</v>
      </c>
    </row>
    <row r="64" spans="1:9">
      <c r="A64" s="6">
        <v>44564</v>
      </c>
      <c r="B64" s="7" t="s">
        <v>86</v>
      </c>
      <c r="C64" s="7" t="s">
        <v>185</v>
      </c>
      <c r="D64" s="14">
        <v>6919.278317665593</v>
      </c>
      <c r="E64" s="14">
        <v>238.5579528808594</v>
      </c>
      <c r="F64" s="14">
        <v>1650648.870875221</v>
      </c>
      <c r="G64" s="15">
        <f>F64*$K$4</f>
        <v>0</v>
      </c>
      <c r="H64" s="14">
        <v>1650.648870875221</v>
      </c>
      <c r="I64" s="9">
        <f>IF(ABS(G64-H64)&lt;0.01,"ok","DIFF")</f>
        <v>0</v>
      </c>
    </row>
    <row r="65" spans="1:9">
      <c r="A65" s="6">
        <v>44564</v>
      </c>
      <c r="B65" s="7" t="s">
        <v>96</v>
      </c>
      <c r="C65" s="7" t="s">
        <v>185</v>
      </c>
      <c r="D65" s="14">
        <v>6052.610356388395</v>
      </c>
      <c r="E65" s="14">
        <v>328.2543029785156</v>
      </c>
      <c r="F65" s="14">
        <v>1986795.393736818</v>
      </c>
      <c r="G65" s="15">
        <f>F65*$K$4</f>
        <v>0</v>
      </c>
      <c r="H65" s="14">
        <v>1986.795393736818</v>
      </c>
      <c r="I65" s="9">
        <f>IF(ABS(G65-H65)&lt;0.01,"ok","DIFF")</f>
        <v>0</v>
      </c>
    </row>
    <row r="66" spans="1:9">
      <c r="A66" s="6">
        <v>44564</v>
      </c>
      <c r="B66" s="7" t="s">
        <v>93</v>
      </c>
      <c r="C66" s="7" t="s">
        <v>185</v>
      </c>
      <c r="D66" s="14">
        <v>4686.2252351438</v>
      </c>
      <c r="E66" s="14">
        <v>372.3961486816406</v>
      </c>
      <c r="F66" s="14">
        <v>1745132.229422267</v>
      </c>
      <c r="G66" s="15">
        <f>F66*$K$4</f>
        <v>0</v>
      </c>
      <c r="H66" s="14">
        <v>1745.132229422267</v>
      </c>
      <c r="I66" s="9">
        <f>IF(ABS(G66-H66)&lt;0.01,"ok","DIFF")</f>
        <v>0</v>
      </c>
    </row>
    <row r="67" spans="1:9">
      <c r="A67" s="6">
        <v>44564</v>
      </c>
      <c r="B67" s="7" t="s">
        <v>100</v>
      </c>
      <c r="C67" s="7" t="s">
        <v>185</v>
      </c>
      <c r="D67" s="14">
        <v>4287.521954713241</v>
      </c>
      <c r="E67" s="14">
        <v>296.3605346679688</v>
      </c>
      <c r="F67" s="14">
        <v>1270652.298899471</v>
      </c>
      <c r="G67" s="15">
        <f>F67*$K$4</f>
        <v>0</v>
      </c>
      <c r="H67" s="14">
        <v>1270.652298899471</v>
      </c>
      <c r="I67" s="9">
        <f>IF(ABS(G67-H67)&lt;0.01,"ok","DIFF")</f>
        <v>0</v>
      </c>
    </row>
    <row r="68" spans="1:9">
      <c r="A68" s="6">
        <v>44564</v>
      </c>
      <c r="B68" s="7" t="s">
        <v>99</v>
      </c>
      <c r="C68" s="7" t="s">
        <v>185</v>
      </c>
      <c r="D68" s="14">
        <v>2897.079538941855</v>
      </c>
      <c r="E68" s="14">
        <v>602.0344848632812</v>
      </c>
      <c r="F68" s="14">
        <v>1744141.787834812</v>
      </c>
      <c r="G68" s="15">
        <f>F68*$K$4</f>
        <v>0</v>
      </c>
      <c r="H68" s="14">
        <v>1744.141787834812</v>
      </c>
      <c r="I68" s="9">
        <f>IF(ABS(G68-H68)&lt;0.01,"ok","DIFF")</f>
        <v>0</v>
      </c>
    </row>
    <row r="69" spans="1:9">
      <c r="A69" s="6">
        <v>44564</v>
      </c>
      <c r="B69" s="7" t="s">
        <v>97</v>
      </c>
      <c r="C69" s="7" t="s">
        <v>185</v>
      </c>
      <c r="D69" s="14">
        <v>776.4404580103643</v>
      </c>
      <c r="E69" s="14">
        <v>2374.243896484375</v>
      </c>
      <c r="F69" s="14">
        <v>1843459.01841464</v>
      </c>
      <c r="G69" s="15">
        <f>F69*$K$4</f>
        <v>0</v>
      </c>
      <c r="H69" s="14">
        <v>1843.45901841464</v>
      </c>
      <c r="I69" s="9">
        <f>IF(ABS(G69-H69)&lt;0.01,"ok","DIFF")</f>
        <v>0</v>
      </c>
    </row>
    <row r="70" spans="1:9">
      <c r="A70" s="6">
        <v>44564</v>
      </c>
      <c r="B70" s="7" t="s">
        <v>95</v>
      </c>
      <c r="C70" s="7" t="s">
        <v>185</v>
      </c>
      <c r="D70" s="14">
        <v>547.1298564973999</v>
      </c>
      <c r="E70" s="14">
        <v>3051.071533203125</v>
      </c>
      <c r="F70" s="14">
        <v>1669332.330124728</v>
      </c>
      <c r="G70" s="15">
        <f>F70*$K$4</f>
        <v>0</v>
      </c>
      <c r="H70" s="14">
        <v>1669.332330124728</v>
      </c>
      <c r="I70" s="9">
        <f>IF(ABS(G70-H70)&lt;0.01,"ok","DIFF")</f>
        <v>0</v>
      </c>
    </row>
    <row r="71" spans="1:9">
      <c r="A71" s="6">
        <v>44564</v>
      </c>
      <c r="B71" s="7" t="s">
        <v>98</v>
      </c>
      <c r="C71" s="7" t="s">
        <v>185</v>
      </c>
      <c r="D71" s="14">
        <v>316.9870118880268</v>
      </c>
      <c r="E71" s="14">
        <v>4923.3642578125</v>
      </c>
      <c r="F71" s="14">
        <v>1560642.524520297</v>
      </c>
      <c r="G71" s="15">
        <f>F71*$K$4</f>
        <v>0</v>
      </c>
      <c r="H71" s="14">
        <v>1560.642524520297</v>
      </c>
      <c r="I71" s="9">
        <f>IF(ABS(G71-H71)&lt;0.01,"ok","DIFF")</f>
        <v>0</v>
      </c>
    </row>
    <row r="72" spans="1:9">
      <c r="A72" s="6">
        <v>44564</v>
      </c>
      <c r="B72" s="7" t="s">
        <v>102</v>
      </c>
      <c r="C72" s="7" t="s">
        <v>185</v>
      </c>
      <c r="D72" s="14">
        <v>31.99879980716099</v>
      </c>
      <c r="E72" s="14">
        <v>5407.4013671875</v>
      </c>
      <c r="F72" s="14">
        <v>173030.3538256015</v>
      </c>
      <c r="G72" s="15">
        <f>F72*$K$4</f>
        <v>0</v>
      </c>
      <c r="H72" s="14">
        <v>173.0303538256015</v>
      </c>
      <c r="I72" s="9">
        <f>IF(ABS(G72-H72)&lt;0.01,"ok","DIFF")</f>
        <v>0</v>
      </c>
    </row>
    <row r="73" spans="1:9">
      <c r="A73" s="6">
        <v>44564</v>
      </c>
      <c r="B73" s="7" t="s">
        <v>101</v>
      </c>
      <c r="C73" s="7" t="s">
        <v>184</v>
      </c>
      <c r="D73" s="14">
        <v>17.81143288795033</v>
      </c>
      <c r="E73" s="14">
        <v>5597.17529296875</v>
      </c>
      <c r="F73" s="14">
        <v>99693.71209280663</v>
      </c>
      <c r="G73" s="15">
        <f>F73*$K$4</f>
        <v>0</v>
      </c>
      <c r="H73" s="14">
        <v>99.69371209280663</v>
      </c>
      <c r="I73" s="9">
        <f>IF(ABS(G73-H73)&lt;0.01,"ok","DIFF")</f>
        <v>0</v>
      </c>
    </row>
    <row r="74" spans="1:9">
      <c r="A74" s="6">
        <v>44564</v>
      </c>
      <c r="B74" s="7" t="s">
        <v>77</v>
      </c>
      <c r="C74" s="7" t="s">
        <v>184</v>
      </c>
      <c r="D74" s="14">
        <v>674.3850980878674</v>
      </c>
      <c r="E74" s="14">
        <v>2345.713623046875</v>
      </c>
      <c r="F74" s="14">
        <v>1581914.311764514</v>
      </c>
      <c r="G74" s="15">
        <f>F74*$K$4</f>
        <v>0</v>
      </c>
      <c r="H74" s="14">
        <v>1581.914311764514</v>
      </c>
      <c r="I74" s="9">
        <f>IF(ABS(G74-H74)&lt;0.01,"ok","DIFF")</f>
        <v>0</v>
      </c>
    </row>
    <row r="75" spans="1:9">
      <c r="A75" s="6">
        <v>44564</v>
      </c>
      <c r="B75" s="7" t="s">
        <v>107</v>
      </c>
      <c r="C75" s="7" t="s">
        <v>184</v>
      </c>
      <c r="D75" s="14">
        <v>704.7894726350885</v>
      </c>
      <c r="E75" s="14">
        <v>2393.406494140625</v>
      </c>
      <c r="F75" s="14">
        <v>1686847.700806767</v>
      </c>
      <c r="G75" s="15">
        <f>F75*$K$4</f>
        <v>0</v>
      </c>
      <c r="H75" s="14">
        <v>1686.847700806767</v>
      </c>
      <c r="I75" s="9">
        <f>IF(ABS(G75-H75)&lt;0.01,"ok","DIFF")</f>
        <v>0</v>
      </c>
    </row>
    <row r="76" spans="1:9">
      <c r="A76" s="6">
        <v>44564</v>
      </c>
      <c r="B76" s="7" t="s">
        <v>105</v>
      </c>
      <c r="C76" s="7" t="s">
        <v>184</v>
      </c>
      <c r="D76" s="14">
        <v>1122.210972992017</v>
      </c>
      <c r="E76" s="14">
        <v>1616.713500976562</v>
      </c>
      <c r="F76" s="14">
        <v>1814293.630980238</v>
      </c>
      <c r="G76" s="15">
        <f>F76*$K$4</f>
        <v>0</v>
      </c>
      <c r="H76" s="14">
        <v>1814.293630980238</v>
      </c>
      <c r="I76" s="9">
        <f>IF(ABS(G76-H76)&lt;0.01,"ok","DIFF")</f>
        <v>0</v>
      </c>
    </row>
    <row r="77" spans="1:9">
      <c r="A77" s="6">
        <v>44564</v>
      </c>
      <c r="B77" s="7" t="s">
        <v>103</v>
      </c>
      <c r="C77" s="7" t="s">
        <v>184</v>
      </c>
      <c r="D77" s="14">
        <v>1269.646409168864</v>
      </c>
      <c r="E77" s="14">
        <v>1618.548706054688</v>
      </c>
      <c r="F77" s="14">
        <v>2054984.552707244</v>
      </c>
      <c r="G77" s="15">
        <f>F77*$K$4</f>
        <v>0</v>
      </c>
      <c r="H77" s="14">
        <v>2054.984552707244</v>
      </c>
      <c r="I77" s="9">
        <f>IF(ABS(G77-H77)&lt;0.01,"ok","DIFF")</f>
        <v>0</v>
      </c>
    </row>
    <row r="78" spans="1:9">
      <c r="A78" s="6">
        <v>44564</v>
      </c>
      <c r="B78" s="7" t="s">
        <v>104</v>
      </c>
      <c r="C78" s="7" t="s">
        <v>184</v>
      </c>
      <c r="D78" s="14">
        <v>1287.83482498434</v>
      </c>
      <c r="E78" s="14">
        <v>1514.199829101562</v>
      </c>
      <c r="F78" s="14">
        <v>1950039.271902328</v>
      </c>
      <c r="G78" s="15">
        <f>F78*$K$4</f>
        <v>0</v>
      </c>
      <c r="H78" s="14">
        <v>1950.039271902328</v>
      </c>
      <c r="I78" s="9">
        <f>IF(ABS(G78-H78)&lt;0.01,"ok","DIFF")</f>
        <v>0</v>
      </c>
    </row>
    <row r="79" spans="1:9">
      <c r="A79" s="6">
        <v>44564</v>
      </c>
      <c r="B79" s="7" t="s">
        <v>109</v>
      </c>
      <c r="C79" s="7" t="s">
        <v>184</v>
      </c>
      <c r="D79" s="14">
        <v>2191.91794752653</v>
      </c>
      <c r="E79" s="14">
        <v>595.1177978515625</v>
      </c>
      <c r="F79" s="14">
        <v>1304449.382003305</v>
      </c>
      <c r="G79" s="15">
        <f>F79*$K$4</f>
        <v>0</v>
      </c>
      <c r="H79" s="14">
        <v>1304.449382003306</v>
      </c>
      <c r="I79" s="9">
        <f>IF(ABS(G79-H79)&lt;0.01,"ok","DIFF")</f>
        <v>0</v>
      </c>
    </row>
    <row r="80" spans="1:9">
      <c r="A80" s="6">
        <v>44564</v>
      </c>
      <c r="B80" s="7" t="s">
        <v>108</v>
      </c>
      <c r="C80" s="7" t="s">
        <v>184</v>
      </c>
      <c r="D80" s="14">
        <v>2881.896456431692</v>
      </c>
      <c r="E80" s="14">
        <v>479.8102111816406</v>
      </c>
      <c r="F80" s="14">
        <v>1382763.347364112</v>
      </c>
      <c r="G80" s="15">
        <f>F80*$K$4</f>
        <v>0</v>
      </c>
      <c r="H80" s="14">
        <v>1382.763347364112</v>
      </c>
      <c r="I80" s="9">
        <f>IF(ABS(G80-H80)&lt;0.01,"ok","DIFF")</f>
        <v>0</v>
      </c>
    </row>
    <row r="81" spans="1:9">
      <c r="A81" s="6">
        <v>44564</v>
      </c>
      <c r="B81" s="7" t="s">
        <v>106</v>
      </c>
      <c r="C81" s="7" t="s">
        <v>184</v>
      </c>
      <c r="D81" s="14">
        <v>3495.332988007899</v>
      </c>
      <c r="E81" s="14">
        <v>498.2611083984375</v>
      </c>
      <c r="F81" s="14">
        <v>1741588.488826438</v>
      </c>
      <c r="G81" s="15">
        <f>F81*$K$4</f>
        <v>0</v>
      </c>
      <c r="H81" s="14">
        <v>1741.588488826438</v>
      </c>
      <c r="I81" s="9">
        <f>IF(ABS(G81-H81)&lt;0.01,"ok","DIFF")</f>
        <v>0</v>
      </c>
    </row>
    <row r="82" spans="1:9">
      <c r="A82" s="6">
        <v>44652</v>
      </c>
      <c r="B82" s="7" t="s">
        <v>106</v>
      </c>
      <c r="C82" s="7" t="s">
        <v>185</v>
      </c>
      <c r="D82" s="14">
        <v>3495.332988007899</v>
      </c>
      <c r="E82" s="14">
        <v>459.1119384765625</v>
      </c>
      <c r="F82" s="14">
        <v>1604749.103745382</v>
      </c>
      <c r="G82" s="15">
        <f>F82*$K$4</f>
        <v>0</v>
      </c>
      <c r="H82" s="14">
        <v>1604.749103745382</v>
      </c>
      <c r="I82" s="9">
        <f>IF(ABS(G82-H82)&lt;0.01,"ok","DIFF")</f>
        <v>0</v>
      </c>
    </row>
    <row r="83" spans="1:9">
      <c r="A83" s="6">
        <v>44652</v>
      </c>
      <c r="B83" s="7" t="s">
        <v>108</v>
      </c>
      <c r="C83" s="7" t="s">
        <v>185</v>
      </c>
      <c r="D83" s="14">
        <v>2881.896456431692</v>
      </c>
      <c r="E83" s="14">
        <v>420.1855773925781</v>
      </c>
      <c r="F83" s="14">
        <v>1210931.326531375</v>
      </c>
      <c r="G83" s="15">
        <f>F83*$K$4</f>
        <v>0</v>
      </c>
      <c r="H83" s="14">
        <v>1210.931326531375</v>
      </c>
      <c r="I83" s="9">
        <f>IF(ABS(G83-H83)&lt;0.01,"ok","DIFF")</f>
        <v>0</v>
      </c>
    </row>
    <row r="84" spans="1:9">
      <c r="A84" s="6">
        <v>44652</v>
      </c>
      <c r="B84" s="7" t="s">
        <v>109</v>
      </c>
      <c r="C84" s="7" t="s">
        <v>185</v>
      </c>
      <c r="D84" s="14">
        <v>2191.91794752653</v>
      </c>
      <c r="E84" s="14">
        <v>460.4456176757812</v>
      </c>
      <c r="F84" s="14">
        <v>1009259.013243484</v>
      </c>
      <c r="G84" s="15">
        <f>F84*$K$4</f>
        <v>0</v>
      </c>
      <c r="H84" s="14">
        <v>1009.259013243484</v>
      </c>
      <c r="I84" s="9">
        <f>IF(ABS(G84-H84)&lt;0.01,"ok","DIFF")</f>
        <v>0</v>
      </c>
    </row>
    <row r="85" spans="1:9">
      <c r="A85" s="6">
        <v>44652</v>
      </c>
      <c r="B85" s="7" t="s">
        <v>104</v>
      </c>
      <c r="C85" s="7" t="s">
        <v>185</v>
      </c>
      <c r="D85" s="14">
        <v>1287.83482498434</v>
      </c>
      <c r="E85" s="14">
        <v>1261.63525390625</v>
      </c>
      <c r="F85" s="14">
        <v>1624777.816408429</v>
      </c>
      <c r="G85" s="15">
        <f>F85*$K$4</f>
        <v>0</v>
      </c>
      <c r="H85" s="14">
        <v>1624.777816408429</v>
      </c>
      <c r="I85" s="9">
        <f>IF(ABS(G85-H85)&lt;0.01,"ok","DIFF")</f>
        <v>0</v>
      </c>
    </row>
    <row r="86" spans="1:9">
      <c r="A86" s="6">
        <v>44652</v>
      </c>
      <c r="B86" s="7" t="s">
        <v>103</v>
      </c>
      <c r="C86" s="7" t="s">
        <v>185</v>
      </c>
      <c r="D86" s="14">
        <v>1269.646409168864</v>
      </c>
      <c r="E86" s="14">
        <v>1626.682373046875</v>
      </c>
      <c r="F86" s="14">
        <v>2065311.433797251</v>
      </c>
      <c r="G86" s="15">
        <f>F86*$K$4</f>
        <v>0</v>
      </c>
      <c r="H86" s="14">
        <v>2065.311433797251</v>
      </c>
      <c r="I86" s="9">
        <f>IF(ABS(G86-H86)&lt;0.01,"ok","DIFF")</f>
        <v>0</v>
      </c>
    </row>
    <row r="87" spans="1:9">
      <c r="A87" s="6">
        <v>44652</v>
      </c>
      <c r="B87" s="7" t="s">
        <v>107</v>
      </c>
      <c r="C87" s="7" t="s">
        <v>185</v>
      </c>
      <c r="D87" s="14">
        <v>704.7894726350885</v>
      </c>
      <c r="E87" s="14">
        <v>2369.907470703125</v>
      </c>
      <c r="F87" s="14">
        <v>1670285.836470812</v>
      </c>
      <c r="G87" s="15">
        <f>F87*$K$4</f>
        <v>0</v>
      </c>
      <c r="H87" s="14">
        <v>1670.285836470812</v>
      </c>
      <c r="I87" s="9">
        <f>IF(ABS(G87-H87)&lt;0.01,"ok","DIFF")</f>
        <v>0</v>
      </c>
    </row>
    <row r="88" spans="1:9">
      <c r="A88" s="6">
        <v>44652</v>
      </c>
      <c r="B88" s="7" t="s">
        <v>77</v>
      </c>
      <c r="C88" s="7" t="s">
        <v>185</v>
      </c>
      <c r="D88" s="14">
        <v>674.3850980878674</v>
      </c>
      <c r="E88" s="14">
        <v>2284.834716796875</v>
      </c>
      <c r="F88" s="14">
        <v>1540858.484601625</v>
      </c>
      <c r="G88" s="15">
        <f>F88*$K$4</f>
        <v>0</v>
      </c>
      <c r="H88" s="14">
        <v>1540.858484601625</v>
      </c>
      <c r="I88" s="9">
        <f>IF(ABS(G88-H88)&lt;0.01,"ok","DIFF")</f>
        <v>0</v>
      </c>
    </row>
    <row r="89" spans="1:9">
      <c r="A89" s="6">
        <v>44652</v>
      </c>
      <c r="B89" s="7" t="s">
        <v>105</v>
      </c>
      <c r="C89" s="7" t="s">
        <v>185</v>
      </c>
      <c r="D89" s="14">
        <v>324.8258664771508</v>
      </c>
      <c r="E89" s="14">
        <v>1758.09716796875</v>
      </c>
      <c r="F89" s="14">
        <v>571075.4359364742</v>
      </c>
      <c r="G89" s="15">
        <f>F89*$K$4</f>
        <v>0</v>
      </c>
      <c r="H89" s="14">
        <v>571.0754359364743</v>
      </c>
      <c r="I89" s="9">
        <f>IF(ABS(G89-H89)&lt;0.01,"ok","DIFF")</f>
        <v>0</v>
      </c>
    </row>
    <row r="90" spans="1:9">
      <c r="A90" s="6">
        <v>44652</v>
      </c>
      <c r="B90" s="7" t="s">
        <v>102</v>
      </c>
      <c r="C90" s="7" t="s">
        <v>185</v>
      </c>
      <c r="D90" s="14">
        <v>248.6460549706322</v>
      </c>
      <c r="E90" s="14">
        <v>4846.517578125</v>
      </c>
      <c r="F90" s="14">
        <v>1205067.476146604</v>
      </c>
      <c r="G90" s="15">
        <f>F90*$K$4</f>
        <v>0</v>
      </c>
      <c r="H90" s="14">
        <v>1205.067476146604</v>
      </c>
      <c r="I90" s="9">
        <f>IF(ABS(G90-H90)&lt;0.01,"ok","DIFF")</f>
        <v>0</v>
      </c>
    </row>
    <row r="91" spans="1:9">
      <c r="A91" s="6">
        <v>44652</v>
      </c>
      <c r="B91" s="7" t="s">
        <v>101</v>
      </c>
      <c r="C91" s="7" t="s">
        <v>185</v>
      </c>
      <c r="D91" s="14">
        <v>102.53897470743</v>
      </c>
      <c r="E91" s="14">
        <v>8464.4501953125</v>
      </c>
      <c r="F91" s="14">
        <v>867936.0444894497</v>
      </c>
      <c r="G91" s="15">
        <f>F91*$K$4</f>
        <v>0</v>
      </c>
      <c r="H91" s="14">
        <v>867.9360444894497</v>
      </c>
      <c r="I91" s="9">
        <f>IF(ABS(G91-H91)&lt;0.01,"ok","DIFF")</f>
        <v>0</v>
      </c>
    </row>
    <row r="92" spans="1:9">
      <c r="A92" s="6">
        <v>44652</v>
      </c>
      <c r="B92" s="7" t="s">
        <v>113</v>
      </c>
      <c r="C92" s="7" t="s">
        <v>184</v>
      </c>
      <c r="D92" s="14">
        <v>40.70514766919838</v>
      </c>
      <c r="E92" s="14">
        <v>40739.66015625</v>
      </c>
      <c r="F92" s="14">
        <v>1658313.882653114</v>
      </c>
      <c r="G92" s="15">
        <f>F92*$K$4</f>
        <v>0</v>
      </c>
      <c r="H92" s="14">
        <v>1658.313882653114</v>
      </c>
      <c r="I92" s="9">
        <f>IF(ABS(G92-H92)&lt;0.01,"ok","DIFF")</f>
        <v>0</v>
      </c>
    </row>
    <row r="93" spans="1:9">
      <c r="A93" s="6">
        <v>44652</v>
      </c>
      <c r="B93" s="7" t="s">
        <v>110</v>
      </c>
      <c r="C93" s="7" t="s">
        <v>184</v>
      </c>
      <c r="D93" s="14">
        <v>386.0836810207115</v>
      </c>
      <c r="E93" s="14">
        <v>5052.27783203125</v>
      </c>
      <c r="F93" s="14">
        <v>1950602.022929965</v>
      </c>
      <c r="G93" s="15">
        <f>F93*$K$4</f>
        <v>0</v>
      </c>
      <c r="H93" s="14">
        <v>1950.602022929965</v>
      </c>
      <c r="I93" s="9">
        <f>IF(ABS(G93-H93)&lt;0.01,"ok","DIFF")</f>
        <v>0</v>
      </c>
    </row>
    <row r="94" spans="1:9">
      <c r="A94" s="6">
        <v>44652</v>
      </c>
      <c r="B94" s="7" t="s">
        <v>95</v>
      </c>
      <c r="C94" s="7" t="s">
        <v>184</v>
      </c>
      <c r="D94" s="14">
        <v>469.6223970414352</v>
      </c>
      <c r="E94" s="14">
        <v>2981.00537109375</v>
      </c>
      <c r="F94" s="14">
        <v>1399946.88796644</v>
      </c>
      <c r="G94" s="15">
        <f>F94*$K$4</f>
        <v>0</v>
      </c>
      <c r="H94" s="14">
        <v>1399.94688796644</v>
      </c>
      <c r="I94" s="9">
        <f>IF(ABS(G94-H94)&lt;0.01,"ok","DIFF")</f>
        <v>0</v>
      </c>
    </row>
    <row r="95" spans="1:9">
      <c r="A95" s="6">
        <v>44652</v>
      </c>
      <c r="B95" s="7" t="s">
        <v>97</v>
      </c>
      <c r="C95" s="7" t="s">
        <v>184</v>
      </c>
      <c r="D95" s="14">
        <v>524.9316100545117</v>
      </c>
      <c r="E95" s="14">
        <v>2585.279541015625</v>
      </c>
      <c r="F95" s="14">
        <v>1357094.951906321</v>
      </c>
      <c r="G95" s="15">
        <f>F95*$K$4</f>
        <v>0</v>
      </c>
      <c r="H95" s="14">
        <v>1357.094951906321</v>
      </c>
      <c r="I95" s="9">
        <f>IF(ABS(G95-H95)&lt;0.01,"ok","DIFF")</f>
        <v>0</v>
      </c>
    </row>
    <row r="96" spans="1:9">
      <c r="A96" s="6">
        <v>44652</v>
      </c>
      <c r="B96" s="7" t="s">
        <v>114</v>
      </c>
      <c r="C96" s="7" t="s">
        <v>184</v>
      </c>
      <c r="D96" s="14">
        <v>661.836082748124</v>
      </c>
      <c r="E96" s="14">
        <v>2480.05908203125</v>
      </c>
      <c r="F96" s="14">
        <v>1641392.587835471</v>
      </c>
      <c r="G96" s="15">
        <f>F96*$K$4</f>
        <v>0</v>
      </c>
      <c r="H96" s="14">
        <v>1641.392587835471</v>
      </c>
      <c r="I96" s="9">
        <f>IF(ABS(G96-H96)&lt;0.01,"ok","DIFF")</f>
        <v>0</v>
      </c>
    </row>
    <row r="97" spans="1:9">
      <c r="A97" s="6">
        <v>44652</v>
      </c>
      <c r="B97" s="7" t="s">
        <v>115</v>
      </c>
      <c r="C97" s="7" t="s">
        <v>184</v>
      </c>
      <c r="D97" s="14">
        <v>851.4546340132653</v>
      </c>
      <c r="E97" s="14">
        <v>1848.774047851562</v>
      </c>
      <c r="F97" s="14">
        <v>1574147.230286675</v>
      </c>
      <c r="G97" s="15">
        <f>F97*$K$4</f>
        <v>0</v>
      </c>
      <c r="H97" s="14">
        <v>1574.147230286675</v>
      </c>
      <c r="I97" s="9">
        <f>IF(ABS(G97-H97)&lt;0.01,"ok","DIFF")</f>
        <v>0</v>
      </c>
    </row>
    <row r="98" spans="1:9">
      <c r="A98" s="6">
        <v>44652</v>
      </c>
      <c r="B98" s="7" t="s">
        <v>111</v>
      </c>
      <c r="C98" s="7" t="s">
        <v>184</v>
      </c>
      <c r="D98" s="14">
        <v>2233.885743496403</v>
      </c>
      <c r="E98" s="14">
        <v>871.7379150390625</v>
      </c>
      <c r="F98" s="14">
        <v>1947362.900471041</v>
      </c>
      <c r="G98" s="15">
        <f>F98*$K$4</f>
        <v>0</v>
      </c>
      <c r="H98" s="14">
        <v>1947.362900471041</v>
      </c>
      <c r="I98" s="9">
        <f>IF(ABS(G98-H98)&lt;0.01,"ok","DIFF")</f>
        <v>0</v>
      </c>
    </row>
    <row r="99" spans="1:9">
      <c r="A99" s="6">
        <v>44652</v>
      </c>
      <c r="B99" s="7" t="s">
        <v>112</v>
      </c>
      <c r="C99" s="7" t="s">
        <v>184</v>
      </c>
      <c r="D99" s="14">
        <v>12848.41540002861</v>
      </c>
      <c r="E99" s="14">
        <v>141.2374725341797</v>
      </c>
      <c r="F99" s="14">
        <v>1814677.717169272</v>
      </c>
      <c r="G99" s="15">
        <f>F99*$K$4</f>
        <v>0</v>
      </c>
      <c r="H99" s="14">
        <v>1814.677717169272</v>
      </c>
      <c r="I99" s="9">
        <f>IF(ABS(G99-H99)&lt;0.01,"ok","DIFF")</f>
        <v>0</v>
      </c>
    </row>
    <row r="100" spans="1:9">
      <c r="A100" s="6">
        <v>44743</v>
      </c>
      <c r="B100" s="7" t="s">
        <v>111</v>
      </c>
      <c r="C100" s="7" t="s">
        <v>185</v>
      </c>
      <c r="D100" s="14">
        <v>2233.885743496403</v>
      </c>
      <c r="E100" s="14">
        <v>795.5195922851562</v>
      </c>
      <c r="F100" s="14">
        <v>1777099.875877882</v>
      </c>
      <c r="G100" s="15">
        <f>F100*$K$4</f>
        <v>0</v>
      </c>
      <c r="H100" s="14">
        <v>1777.099875877882</v>
      </c>
      <c r="I100" s="9">
        <f>IF(ABS(G100-H100)&lt;0.01,"ok","DIFF")</f>
        <v>0</v>
      </c>
    </row>
    <row r="101" spans="1:9">
      <c r="A101" s="6">
        <v>44743</v>
      </c>
      <c r="B101" s="7" t="s">
        <v>105</v>
      </c>
      <c r="C101" s="7" t="s">
        <v>185</v>
      </c>
      <c r="D101" s="14">
        <v>797.385106514866</v>
      </c>
      <c r="E101" s="14">
        <v>1333.870971679688</v>
      </c>
      <c r="F101" s="14">
        <v>1063608.846829895</v>
      </c>
      <c r="G101" s="15">
        <f>F101*$K$4</f>
        <v>0</v>
      </c>
      <c r="H101" s="14">
        <v>1063.608846829895</v>
      </c>
      <c r="I101" s="9">
        <f>IF(ABS(G101-H101)&lt;0.01,"ok","DIFF")</f>
        <v>0</v>
      </c>
    </row>
    <row r="102" spans="1:9">
      <c r="A102" s="6">
        <v>44743</v>
      </c>
      <c r="B102" s="7" t="s">
        <v>114</v>
      </c>
      <c r="C102" s="7" t="s">
        <v>185</v>
      </c>
      <c r="D102" s="14">
        <v>661.836082748124</v>
      </c>
      <c r="E102" s="14">
        <v>1914.707641601562</v>
      </c>
      <c r="F102" s="14">
        <v>1267222.605125477</v>
      </c>
      <c r="G102" s="15">
        <f>F102*$K$4</f>
        <v>0</v>
      </c>
      <c r="H102" s="14">
        <v>1267.222605125477</v>
      </c>
      <c r="I102" s="9">
        <f>IF(ABS(G102-H102)&lt;0.01,"ok","DIFF")</f>
        <v>0</v>
      </c>
    </row>
    <row r="103" spans="1:9">
      <c r="A103" s="6">
        <v>44743</v>
      </c>
      <c r="B103" s="7" t="s">
        <v>97</v>
      </c>
      <c r="C103" s="7" t="s">
        <v>185</v>
      </c>
      <c r="D103" s="14">
        <v>524.9316100545117</v>
      </c>
      <c r="E103" s="14">
        <v>2131.49853515625</v>
      </c>
      <c r="F103" s="14">
        <v>1118890.957888403</v>
      </c>
      <c r="G103" s="15">
        <f>F103*$K$4</f>
        <v>0</v>
      </c>
      <c r="H103" s="14">
        <v>1118.890957888403</v>
      </c>
      <c r="I103" s="9">
        <f>IF(ABS(G103-H103)&lt;0.01,"ok","DIFF")</f>
        <v>0</v>
      </c>
    </row>
    <row r="104" spans="1:9">
      <c r="A104" s="6">
        <v>44743</v>
      </c>
      <c r="B104" s="7" t="s">
        <v>95</v>
      </c>
      <c r="C104" s="7" t="s">
        <v>185</v>
      </c>
      <c r="D104" s="14">
        <v>469.6223970414352</v>
      </c>
      <c r="E104" s="14">
        <v>1997.8408203125</v>
      </c>
      <c r="F104" s="14">
        <v>938230.7949423835</v>
      </c>
      <c r="G104" s="15">
        <f>F104*$K$4</f>
        <v>0</v>
      </c>
      <c r="H104" s="14">
        <v>938.2307949423836</v>
      </c>
      <c r="I104" s="9">
        <f>IF(ABS(G104-H104)&lt;0.01,"ok","DIFF")</f>
        <v>0</v>
      </c>
    </row>
    <row r="105" spans="1:9">
      <c r="A105" s="6">
        <v>44743</v>
      </c>
      <c r="B105" s="7" t="s">
        <v>110</v>
      </c>
      <c r="C105" s="7" t="s">
        <v>185</v>
      </c>
      <c r="D105" s="14">
        <v>386.0836810207115</v>
      </c>
      <c r="E105" s="14">
        <v>4299.689453125</v>
      </c>
      <c r="F105" s="14">
        <v>1660039.93130843</v>
      </c>
      <c r="G105" s="15">
        <f>F105*$K$4</f>
        <v>0</v>
      </c>
      <c r="H105" s="14">
        <v>1660.03993130843</v>
      </c>
      <c r="I105" s="9">
        <f>IF(ABS(G105-H105)&lt;0.01,"ok","DIFF")</f>
        <v>0</v>
      </c>
    </row>
    <row r="106" spans="1:9">
      <c r="A106" s="6">
        <v>44743</v>
      </c>
      <c r="B106" s="7" t="s">
        <v>115</v>
      </c>
      <c r="C106" s="7" t="s">
        <v>185</v>
      </c>
      <c r="D106" s="14">
        <v>243.9717048902191</v>
      </c>
      <c r="E106" s="14">
        <v>2187.0078125</v>
      </c>
      <c r="F106" s="14">
        <v>533568.0246238537</v>
      </c>
      <c r="G106" s="15">
        <f>F106*$K$4</f>
        <v>0</v>
      </c>
      <c r="H106" s="14">
        <v>533.5680246238537</v>
      </c>
      <c r="I106" s="9">
        <f>IF(ABS(G106-H106)&lt;0.01,"ok","DIFF")</f>
        <v>0</v>
      </c>
    </row>
    <row r="107" spans="1:9">
      <c r="A107" s="6">
        <v>44743</v>
      </c>
      <c r="B107" s="7" t="s">
        <v>101</v>
      </c>
      <c r="C107" s="7" t="s">
        <v>185</v>
      </c>
      <c r="D107" s="14">
        <v>139.7185638968139</v>
      </c>
      <c r="E107" s="14">
        <v>7781.4013671875</v>
      </c>
      <c r="F107" s="14">
        <v>1087206.224128142</v>
      </c>
      <c r="G107" s="15">
        <f>F107*$K$4</f>
        <v>0</v>
      </c>
      <c r="H107" s="14">
        <v>1087.206224128142</v>
      </c>
      <c r="I107" s="9">
        <f>IF(ABS(G107-H107)&lt;0.01,"ok","DIFF")</f>
        <v>0</v>
      </c>
    </row>
    <row r="108" spans="1:9">
      <c r="A108" s="6">
        <v>44743</v>
      </c>
      <c r="B108" s="7" t="s">
        <v>113</v>
      </c>
      <c r="C108" s="7" t="s">
        <v>185</v>
      </c>
      <c r="D108" s="14">
        <v>2.153683819178632</v>
      </c>
      <c r="E108" s="14">
        <v>39128.8046875</v>
      </c>
      <c r="F108" s="14">
        <v>84271.07351926975</v>
      </c>
      <c r="G108" s="15">
        <f>F108*$K$4</f>
        <v>0</v>
      </c>
      <c r="H108" s="14">
        <v>84.27107351926975</v>
      </c>
      <c r="I108" s="9">
        <f>IF(ABS(G108-H108)&lt;0.01,"ok","DIFF")</f>
        <v>0</v>
      </c>
    </row>
    <row r="109" spans="1:9">
      <c r="A109" s="6">
        <v>44743</v>
      </c>
      <c r="B109" s="7" t="s">
        <v>122</v>
      </c>
      <c r="C109" s="7" t="s">
        <v>184</v>
      </c>
      <c r="D109" s="14">
        <v>224.0649983184063</v>
      </c>
      <c r="E109" s="14">
        <v>4788.43896484375</v>
      </c>
      <c r="F109" s="14">
        <v>1072921.568605506</v>
      </c>
      <c r="G109" s="15">
        <f>F109*$K$4</f>
        <v>0</v>
      </c>
      <c r="H109" s="14">
        <v>1072.921568605506</v>
      </c>
      <c r="I109" s="9">
        <f>IF(ABS(G109-H109)&lt;0.01,"ok","DIFF")</f>
        <v>0</v>
      </c>
    </row>
    <row r="110" spans="1:9">
      <c r="A110" s="6">
        <v>44743</v>
      </c>
      <c r="B110" s="7" t="s">
        <v>121</v>
      </c>
      <c r="C110" s="7" t="s">
        <v>184</v>
      </c>
      <c r="D110" s="14">
        <v>454.8929155850592</v>
      </c>
      <c r="E110" s="14">
        <v>2441.7841796875</v>
      </c>
      <c r="F110" s="14">
        <v>1110750.324727519</v>
      </c>
      <c r="G110" s="15">
        <f>F110*$K$4</f>
        <v>0</v>
      </c>
      <c r="H110" s="14">
        <v>1110.750324727519</v>
      </c>
      <c r="I110" s="9">
        <f>IF(ABS(G110-H110)&lt;0.01,"ok","DIFF")</f>
        <v>0</v>
      </c>
    </row>
    <row r="111" spans="1:9">
      <c r="A111" s="6">
        <v>44743</v>
      </c>
      <c r="B111" s="7" t="s">
        <v>112</v>
      </c>
      <c r="C111" s="7" t="s">
        <v>184</v>
      </c>
      <c r="D111" s="14">
        <v>510.6852623499726</v>
      </c>
      <c r="E111" s="14">
        <v>129.5957946777344</v>
      </c>
      <c r="F111" s="14">
        <v>66182.66240445197</v>
      </c>
      <c r="G111" s="15">
        <f>F111*$K$4</f>
        <v>0</v>
      </c>
      <c r="H111" s="14">
        <v>66.18266240445197</v>
      </c>
      <c r="I111" s="9">
        <f>IF(ABS(G111-H111)&lt;0.01,"ok","DIFF")</f>
        <v>0</v>
      </c>
    </row>
    <row r="112" spans="1:9">
      <c r="A112" s="6">
        <v>44743</v>
      </c>
      <c r="B112" s="7" t="s">
        <v>118</v>
      </c>
      <c r="C112" s="7" t="s">
        <v>184</v>
      </c>
      <c r="D112" s="14">
        <v>615.9170527881704</v>
      </c>
      <c r="E112" s="14">
        <v>2204.68505859375</v>
      </c>
      <c r="F112" s="14">
        <v>1357903.123615177</v>
      </c>
      <c r="G112" s="15">
        <f>F112*$K$4</f>
        <v>0</v>
      </c>
      <c r="H112" s="14">
        <v>1357.903123615177</v>
      </c>
      <c r="I112" s="9">
        <f>IF(ABS(G112-H112)&lt;0.01,"ok","DIFF")</f>
        <v>0</v>
      </c>
    </row>
    <row r="113" spans="1:9">
      <c r="A113" s="6">
        <v>44743</v>
      </c>
      <c r="B113" s="7" t="s">
        <v>119</v>
      </c>
      <c r="C113" s="7" t="s">
        <v>184</v>
      </c>
      <c r="D113" s="14">
        <v>1619.273778421858</v>
      </c>
      <c r="E113" s="14">
        <v>822.7560424804688</v>
      </c>
      <c r="F113" s="14">
        <v>1332267.285626763</v>
      </c>
      <c r="G113" s="15">
        <f>F113*$K$4</f>
        <v>0</v>
      </c>
      <c r="H113" s="14">
        <v>1332.267285626763</v>
      </c>
      <c r="I113" s="9">
        <f>IF(ABS(G113-H113)&lt;0.01,"ok","DIFF")</f>
        <v>0</v>
      </c>
    </row>
    <row r="114" spans="1:9">
      <c r="A114" s="6">
        <v>44743</v>
      </c>
      <c r="B114" s="7" t="s">
        <v>116</v>
      </c>
      <c r="C114" s="7" t="s">
        <v>184</v>
      </c>
      <c r="D114" s="14">
        <v>7967.114807287491</v>
      </c>
      <c r="E114" s="14">
        <v>234.8621673583984</v>
      </c>
      <c r="F114" s="14">
        <v>1871173.851232729</v>
      </c>
      <c r="G114" s="15">
        <f>F114*$K$4</f>
        <v>0</v>
      </c>
      <c r="H114" s="14">
        <v>1871.173851232729</v>
      </c>
      <c r="I114" s="9">
        <f>IF(ABS(G114-H114)&lt;0.01,"ok","DIFF")</f>
        <v>0</v>
      </c>
    </row>
    <row r="115" spans="1:9">
      <c r="A115" s="6">
        <v>44743</v>
      </c>
      <c r="B115" s="7" t="s">
        <v>120</v>
      </c>
      <c r="C115" s="7" t="s">
        <v>184</v>
      </c>
      <c r="D115" s="14">
        <v>8229.052661729742</v>
      </c>
      <c r="E115" s="14">
        <v>156.825439453125</v>
      </c>
      <c r="F115" s="14">
        <v>1290524.799958675</v>
      </c>
      <c r="G115" s="15">
        <f>F115*$K$4</f>
        <v>0</v>
      </c>
      <c r="H115" s="14">
        <v>1290.524799958675</v>
      </c>
      <c r="I115" s="9">
        <f>IF(ABS(G115-H115)&lt;0.01,"ok","DIFF")</f>
        <v>0</v>
      </c>
    </row>
    <row r="116" spans="1:9">
      <c r="A116" s="6">
        <v>44743</v>
      </c>
      <c r="B116" s="7" t="s">
        <v>117</v>
      </c>
      <c r="C116" s="7" t="s">
        <v>184</v>
      </c>
      <c r="D116" s="14">
        <v>19272.0679734156</v>
      </c>
      <c r="E116" s="14">
        <v>73.13037109375</v>
      </c>
      <c r="F116" s="14">
        <v>1409373.482639858</v>
      </c>
      <c r="G116" s="15">
        <f>F116*$K$4</f>
        <v>0</v>
      </c>
      <c r="H116" s="14">
        <v>1409.373482639858</v>
      </c>
      <c r="I116" s="9">
        <f>IF(ABS(G116-H116)&lt;0.01,"ok","DIFF")</f>
        <v>0</v>
      </c>
    </row>
    <row r="117" spans="1:9">
      <c r="A117" s="6">
        <v>44837</v>
      </c>
      <c r="B117" s="7" t="s">
        <v>117</v>
      </c>
      <c r="C117" s="7" t="s">
        <v>185</v>
      </c>
      <c r="D117" s="14">
        <v>1419.340136561423</v>
      </c>
      <c r="E117" s="14">
        <v>94.50400543212891</v>
      </c>
      <c r="F117" s="14">
        <v>134133.3279756393</v>
      </c>
      <c r="G117" s="15">
        <f>F117*$K$4</f>
        <v>0</v>
      </c>
      <c r="H117" s="14">
        <v>134.1333279756393</v>
      </c>
      <c r="I117" s="9">
        <f>IF(ABS(G117-H117)&lt;0.01,"ok","DIFF")</f>
        <v>0</v>
      </c>
    </row>
    <row r="118" spans="1:9">
      <c r="A118" s="6">
        <v>44837</v>
      </c>
      <c r="B118" s="7" t="s">
        <v>120</v>
      </c>
      <c r="C118" s="7" t="s">
        <v>185</v>
      </c>
      <c r="D118" s="14">
        <v>1357.712626844204</v>
      </c>
      <c r="E118" s="14">
        <v>211.9067535400391</v>
      </c>
      <c r="F118" s="14">
        <v>287708.4749948739</v>
      </c>
      <c r="G118" s="15">
        <f>F118*$K$4</f>
        <v>0</v>
      </c>
      <c r="H118" s="14">
        <v>287.7084749948739</v>
      </c>
      <c r="I118" s="9">
        <f>IF(ABS(G118-H118)&lt;0.01,"ok","DIFF")</f>
        <v>0</v>
      </c>
    </row>
    <row r="119" spans="1:9">
      <c r="A119" s="6">
        <v>44837</v>
      </c>
      <c r="B119" s="7" t="s">
        <v>121</v>
      </c>
      <c r="C119" s="7" t="s">
        <v>185</v>
      </c>
      <c r="D119" s="14">
        <v>454.8929155850592</v>
      </c>
      <c r="E119" s="14">
        <v>3054.783935546875</v>
      </c>
      <c r="F119" s="14">
        <v>1389599.57092332</v>
      </c>
      <c r="G119" s="15">
        <f>F119*$K$4</f>
        <v>0</v>
      </c>
      <c r="H119" s="14">
        <v>1389.59957092332</v>
      </c>
      <c r="I119" s="9">
        <f>IF(ABS(G119-H119)&lt;0.01,"ok","DIFF")</f>
        <v>0</v>
      </c>
    </row>
    <row r="120" spans="1:9">
      <c r="A120" s="6">
        <v>44837</v>
      </c>
      <c r="B120" s="7" t="s">
        <v>122</v>
      </c>
      <c r="C120" s="7" t="s">
        <v>185</v>
      </c>
      <c r="D120" s="14">
        <v>224.0649983184063</v>
      </c>
      <c r="E120" s="14">
        <v>6578.6318359375</v>
      </c>
      <c r="F120" s="14">
        <v>1474041.13125675</v>
      </c>
      <c r="G120" s="15">
        <f>F120*$K$4</f>
        <v>0</v>
      </c>
      <c r="H120" s="14">
        <v>1474.04113125675</v>
      </c>
      <c r="I120" s="9">
        <f>IF(ABS(G120-H120)&lt;0.01,"ok","DIFF")</f>
        <v>0</v>
      </c>
    </row>
    <row r="121" spans="1:9">
      <c r="A121" s="6">
        <v>44837</v>
      </c>
      <c r="B121" s="7" t="s">
        <v>115</v>
      </c>
      <c r="C121" s="7" t="s">
        <v>185</v>
      </c>
      <c r="D121" s="14">
        <v>91.98364266144233</v>
      </c>
      <c r="E121" s="14">
        <v>3084.396728515625</v>
      </c>
      <c r="F121" s="14">
        <v>283714.046501903</v>
      </c>
      <c r="G121" s="15">
        <f>F121*$K$4</f>
        <v>0</v>
      </c>
      <c r="H121" s="14">
        <v>283.714046501903</v>
      </c>
      <c r="I121" s="9">
        <f>IF(ABS(G121-H121)&lt;0.01,"ok","DIFF")</f>
        <v>0</v>
      </c>
    </row>
    <row r="122" spans="1:9">
      <c r="A122" s="6">
        <v>44837</v>
      </c>
      <c r="B122" s="7" t="s">
        <v>119</v>
      </c>
      <c r="C122" s="7" t="s">
        <v>185</v>
      </c>
      <c r="D122" s="14">
        <v>91.46078868375184</v>
      </c>
      <c r="E122" s="14">
        <v>1090.661499023438</v>
      </c>
      <c r="F122" s="14">
        <v>99752.76088768663</v>
      </c>
      <c r="G122" s="15">
        <f>F122*$K$4</f>
        <v>0</v>
      </c>
      <c r="H122" s="14">
        <v>99.75276088768663</v>
      </c>
      <c r="I122" s="9">
        <f>IF(ABS(G122-H122)&lt;0.01,"ok","DIFF")</f>
        <v>0</v>
      </c>
    </row>
    <row r="123" spans="1:9">
      <c r="A123" s="6">
        <v>44837</v>
      </c>
      <c r="B123" s="7" t="s">
        <v>118</v>
      </c>
      <c r="C123" s="7" t="s">
        <v>185</v>
      </c>
      <c r="D123" s="14">
        <v>69.29394924874771</v>
      </c>
      <c r="E123" s="14">
        <v>2901.663330078125</v>
      </c>
      <c r="F123" s="14">
        <v>201067.7115313859</v>
      </c>
      <c r="G123" s="15">
        <f>F123*$K$4</f>
        <v>0</v>
      </c>
      <c r="H123" s="14">
        <v>201.0677115313859</v>
      </c>
      <c r="I123" s="9">
        <f>IF(ABS(G123-H123)&lt;0.01,"ok","DIFF")</f>
        <v>0</v>
      </c>
    </row>
    <row r="124" spans="1:9">
      <c r="A124" s="6">
        <v>44837</v>
      </c>
      <c r="B124" s="7" t="s">
        <v>113</v>
      </c>
      <c r="C124" s="7" t="s">
        <v>184</v>
      </c>
      <c r="D124" s="14">
        <v>0.79118039368241</v>
      </c>
      <c r="E124" s="14">
        <v>46922.6484375</v>
      </c>
      <c r="F124" s="14">
        <v>37124.27946340257</v>
      </c>
      <c r="G124" s="15">
        <f>F124*$K$4</f>
        <v>0</v>
      </c>
      <c r="H124" s="14">
        <v>37.12427946340257</v>
      </c>
      <c r="I124" s="9">
        <f>IF(ABS(G124-H124)&lt;0.01,"ok","DIFF")</f>
        <v>0</v>
      </c>
    </row>
    <row r="125" spans="1:9">
      <c r="A125" s="6">
        <v>44837</v>
      </c>
      <c r="B125" s="7" t="s">
        <v>124</v>
      </c>
      <c r="C125" s="7" t="s">
        <v>184</v>
      </c>
      <c r="D125" s="14">
        <v>469.7587209377639</v>
      </c>
      <c r="E125" s="14">
        <v>3151.565673828125</v>
      </c>
      <c r="F125" s="14">
        <v>1480475.459888862</v>
      </c>
      <c r="G125" s="15">
        <f>F125*$K$4</f>
        <v>0</v>
      </c>
      <c r="H125" s="14">
        <v>1480.475459888862</v>
      </c>
      <c r="I125" s="9">
        <f>IF(ABS(G125-H125)&lt;0.01,"ok","DIFF")</f>
        <v>0</v>
      </c>
    </row>
    <row r="126" spans="1:9">
      <c r="A126" s="6">
        <v>44837</v>
      </c>
      <c r="B126" s="7" t="s">
        <v>116</v>
      </c>
      <c r="C126" s="7" t="s">
        <v>184</v>
      </c>
      <c r="D126" s="14">
        <v>651.5417330460768</v>
      </c>
      <c r="E126" s="14">
        <v>267.94189453125</v>
      </c>
      <c r="F126" s="14">
        <v>174575.3263185398</v>
      </c>
      <c r="G126" s="15">
        <f>F126*$K$4</f>
        <v>0</v>
      </c>
      <c r="H126" s="14">
        <v>174.5753263185398</v>
      </c>
      <c r="I126" s="9">
        <f>IF(ABS(G126-H126)&lt;0.01,"ok","DIFF")</f>
        <v>0</v>
      </c>
    </row>
    <row r="127" spans="1:9">
      <c r="A127" s="6">
        <v>44837</v>
      </c>
      <c r="B127" s="7" t="s">
        <v>123</v>
      </c>
      <c r="C127" s="7" t="s">
        <v>184</v>
      </c>
      <c r="D127" s="14">
        <v>1246.859448729989</v>
      </c>
      <c r="E127" s="14">
        <v>1560.287353515625</v>
      </c>
      <c r="F127" s="14">
        <v>1945459.029464865</v>
      </c>
      <c r="G127" s="15">
        <f>F127*$K$4</f>
        <v>0</v>
      </c>
      <c r="H127" s="14">
        <v>1945.459029464865</v>
      </c>
      <c r="I127" s="9">
        <f>IF(ABS(G127-H127)&lt;0.01,"ok","DIFF")</f>
        <v>0</v>
      </c>
    </row>
    <row r="128" spans="1:9">
      <c r="A128" s="6">
        <v>44837</v>
      </c>
      <c r="B128" s="7" t="s">
        <v>112</v>
      </c>
      <c r="C128" s="7" t="s">
        <v>184</v>
      </c>
      <c r="D128" s="14">
        <v>1681.596106299692</v>
      </c>
      <c r="E128" s="14">
        <v>133.5936889648438</v>
      </c>
      <c r="F128" s="14">
        <v>224650.6271894934</v>
      </c>
      <c r="G128" s="15">
        <f>F128*$K$4</f>
        <v>0</v>
      </c>
      <c r="H128" s="14">
        <v>224.6506271894934</v>
      </c>
      <c r="I128" s="9">
        <f>IF(ABS(G128-H128)&lt;0.01,"ok","DIFF")</f>
        <v>0</v>
      </c>
    </row>
    <row r="129" spans="1:9">
      <c r="A129" s="6">
        <v>44928</v>
      </c>
      <c r="B129" s="7" t="s">
        <v>117</v>
      </c>
      <c r="C129" s="7" t="s">
        <v>185</v>
      </c>
      <c r="D129" s="14">
        <v>17852.72783685418</v>
      </c>
      <c r="E129" s="14">
        <v>96.23186492919922</v>
      </c>
      <c r="F129" s="14">
        <v>1718001.293813907</v>
      </c>
      <c r="G129" s="15">
        <f>F129*$K$4</f>
        <v>0</v>
      </c>
      <c r="H129" s="14">
        <v>1718.001293813907</v>
      </c>
      <c r="I129" s="9">
        <f>IF(ABS(G129-H129)&lt;0.01,"ok","DIFF")</f>
        <v>0</v>
      </c>
    </row>
    <row r="130" spans="1:9">
      <c r="A130" s="6">
        <v>44928</v>
      </c>
      <c r="B130" s="7" t="s">
        <v>112</v>
      </c>
      <c r="C130" s="7" t="s">
        <v>185</v>
      </c>
      <c r="D130" s="14">
        <v>15040.69676867827</v>
      </c>
      <c r="E130" s="14">
        <v>139.5467987060547</v>
      </c>
      <c r="F130" s="14">
        <v>2098881.084377554</v>
      </c>
      <c r="G130" s="15">
        <f>F130*$K$4</f>
        <v>0</v>
      </c>
      <c r="H130" s="14">
        <v>2098.881084377554</v>
      </c>
      <c r="I130" s="9">
        <f>IF(ABS(G130-H130)&lt;0.01,"ok","DIFF")</f>
        <v>0</v>
      </c>
    </row>
    <row r="131" spans="1:9">
      <c r="A131" s="6">
        <v>44928</v>
      </c>
      <c r="B131" s="7" t="s">
        <v>120</v>
      </c>
      <c r="C131" s="7" t="s">
        <v>185</v>
      </c>
      <c r="D131" s="14">
        <v>1655.216439639191</v>
      </c>
      <c r="E131" s="14">
        <v>263.9627075195312</v>
      </c>
      <c r="F131" s="14">
        <v>436915.4129379996</v>
      </c>
      <c r="G131" s="15">
        <f>F131*$K$4</f>
        <v>0</v>
      </c>
      <c r="H131" s="14">
        <v>436.9154129379996</v>
      </c>
      <c r="I131" s="9">
        <f>IF(ABS(G131-H131)&lt;0.01,"ok","DIFF")</f>
        <v>0</v>
      </c>
    </row>
    <row r="132" spans="1:9">
      <c r="A132" s="6">
        <v>44928</v>
      </c>
      <c r="B132" s="7" t="s">
        <v>123</v>
      </c>
      <c r="C132" s="7" t="s">
        <v>185</v>
      </c>
      <c r="D132" s="14">
        <v>1246.859448729989</v>
      </c>
      <c r="E132" s="14">
        <v>1630.232177734375</v>
      </c>
      <c r="F132" s="14">
        <v>2032670.394431771</v>
      </c>
      <c r="G132" s="15">
        <f>F132*$K$4</f>
        <v>0</v>
      </c>
      <c r="H132" s="14">
        <v>2032.670394431771</v>
      </c>
      <c r="I132" s="9">
        <f>IF(ABS(G132-H132)&lt;0.01,"ok","DIFF")</f>
        <v>0</v>
      </c>
    </row>
    <row r="133" spans="1:9">
      <c r="A133" s="6">
        <v>44928</v>
      </c>
      <c r="B133" s="7" t="s">
        <v>118</v>
      </c>
      <c r="C133" s="7" t="s">
        <v>185</v>
      </c>
      <c r="D133" s="14">
        <v>546.6231035394227</v>
      </c>
      <c r="E133" s="14">
        <v>2596.604736328125</v>
      </c>
      <c r="F133" s="14">
        <v>1419364.139636844</v>
      </c>
      <c r="G133" s="15">
        <f>F133*$K$4</f>
        <v>0</v>
      </c>
      <c r="H133" s="14">
        <v>1419.364139636844</v>
      </c>
      <c r="I133" s="9">
        <f>IF(ABS(G133-H133)&lt;0.01,"ok","DIFF")</f>
        <v>0</v>
      </c>
    </row>
    <row r="134" spans="1:9">
      <c r="A134" s="6">
        <v>44928</v>
      </c>
      <c r="B134" s="7" t="s">
        <v>115</v>
      </c>
      <c r="C134" s="7" t="s">
        <v>185</v>
      </c>
      <c r="D134" s="14">
        <v>515.4992864616038</v>
      </c>
      <c r="E134" s="14">
        <v>2633.935302734375</v>
      </c>
      <c r="F134" s="14">
        <v>1357791.769145599</v>
      </c>
      <c r="G134" s="15">
        <f>F134*$K$4</f>
        <v>0</v>
      </c>
      <c r="H134" s="14">
        <v>1357.791769145599</v>
      </c>
      <c r="I134" s="9">
        <f>IF(ABS(G134-H134)&lt;0.01,"ok","DIFF")</f>
        <v>0</v>
      </c>
    </row>
    <row r="135" spans="1:9">
      <c r="A135" s="6">
        <v>44928</v>
      </c>
      <c r="B135" s="7" t="s">
        <v>119</v>
      </c>
      <c r="C135" s="7" t="s">
        <v>185</v>
      </c>
      <c r="D135" s="14">
        <v>180.6392650088317</v>
      </c>
      <c r="E135" s="14">
        <v>1218.20556640625</v>
      </c>
      <c r="F135" s="14">
        <v>220055.7581452925</v>
      </c>
      <c r="G135" s="15">
        <f>F135*$K$4</f>
        <v>0</v>
      </c>
      <c r="H135" s="14">
        <v>220.0557581452925</v>
      </c>
      <c r="I135" s="9">
        <f>IF(ABS(G135-H135)&lt;0.01,"ok","DIFF")</f>
        <v>0</v>
      </c>
    </row>
    <row r="136" spans="1:9">
      <c r="A136" s="6">
        <v>44928</v>
      </c>
      <c r="B136" s="7" t="s">
        <v>124</v>
      </c>
      <c r="C136" s="7" t="s">
        <v>185</v>
      </c>
      <c r="D136" s="14">
        <v>75.22202752024452</v>
      </c>
      <c r="E136" s="14">
        <v>3834.2236328125</v>
      </c>
      <c r="F136" s="14">
        <v>288418.0756261938</v>
      </c>
      <c r="G136" s="15">
        <f>F136*$K$4</f>
        <v>0</v>
      </c>
      <c r="H136" s="14">
        <v>288.4180756261939</v>
      </c>
      <c r="I136" s="9">
        <f>IF(ABS(G136-H136)&lt;0.01,"ok","DIFF")</f>
        <v>0</v>
      </c>
    </row>
    <row r="137" spans="1:9">
      <c r="A137" s="6">
        <v>44928</v>
      </c>
      <c r="B137" s="7" t="s">
        <v>113</v>
      </c>
      <c r="C137" s="7" t="s">
        <v>185</v>
      </c>
      <c r="D137" s="14">
        <v>39.34264424370215</v>
      </c>
      <c r="E137" s="14">
        <v>39752.79296875</v>
      </c>
      <c r="F137" s="14">
        <v>1563979.991463076</v>
      </c>
      <c r="G137" s="15">
        <f>F137*$K$4</f>
        <v>0</v>
      </c>
      <c r="H137" s="14">
        <v>1563.979991463076</v>
      </c>
      <c r="I137" s="9">
        <f>IF(ABS(G137-H137)&lt;0.01,"ok","DIFF")</f>
        <v>0</v>
      </c>
    </row>
    <row r="138" spans="1:9">
      <c r="A138" s="6">
        <v>44928</v>
      </c>
      <c r="B138" s="7" t="s">
        <v>128</v>
      </c>
      <c r="C138" s="7" t="s">
        <v>184</v>
      </c>
      <c r="D138" s="14">
        <v>804.4752205002503</v>
      </c>
      <c r="E138" s="14">
        <v>1958.908569335938</v>
      </c>
      <c r="F138" s="14">
        <v>1575893.403256358</v>
      </c>
      <c r="G138" s="15">
        <f>F138*$K$4</f>
        <v>0</v>
      </c>
      <c r="H138" s="14">
        <v>1575.893403256358</v>
      </c>
      <c r="I138" s="9">
        <f>IF(ABS(G138-H138)&lt;0.01,"ok","DIFF")</f>
        <v>0</v>
      </c>
    </row>
    <row r="139" spans="1:9">
      <c r="A139" s="6">
        <v>44928</v>
      </c>
      <c r="B139" s="7" t="s">
        <v>116</v>
      </c>
      <c r="C139" s="7" t="s">
        <v>184</v>
      </c>
      <c r="D139" s="14">
        <v>1219.342295444723</v>
      </c>
      <c r="E139" s="14">
        <v>274.9213256835938</v>
      </c>
      <c r="F139" s="14">
        <v>335223.2003257396</v>
      </c>
      <c r="G139" s="15">
        <f>F139*$K$4</f>
        <v>0</v>
      </c>
      <c r="H139" s="14">
        <v>335.2232003257396</v>
      </c>
      <c r="I139" s="9">
        <f>IF(ABS(G139-H139)&lt;0.01,"ok","DIFF")</f>
        <v>0</v>
      </c>
    </row>
    <row r="140" spans="1:9">
      <c r="A140" s="6">
        <v>44928</v>
      </c>
      <c r="B140" s="7" t="s">
        <v>125</v>
      </c>
      <c r="C140" s="7" t="s">
        <v>184</v>
      </c>
      <c r="D140" s="14">
        <v>1562.942802922059</v>
      </c>
      <c r="E140" s="14">
        <v>1311.45849609375</v>
      </c>
      <c r="F140" s="14">
        <v>2049734.617800714</v>
      </c>
      <c r="G140" s="15">
        <f>F140*$K$4</f>
        <v>0</v>
      </c>
      <c r="H140" s="14">
        <v>2049.734617800714</v>
      </c>
      <c r="I140" s="9">
        <f>IF(ABS(G140-H140)&lt;0.01,"ok","DIFF")</f>
        <v>0</v>
      </c>
    </row>
    <row r="141" spans="1:9">
      <c r="A141" s="6">
        <v>44928</v>
      </c>
      <c r="B141" s="7" t="s">
        <v>111</v>
      </c>
      <c r="C141" s="7" t="s">
        <v>184</v>
      </c>
      <c r="D141" s="14">
        <v>2548.418996426992</v>
      </c>
      <c r="E141" s="14">
        <v>959.58642578125</v>
      </c>
      <c r="F141" s="14">
        <v>2445428.276174418</v>
      </c>
      <c r="G141" s="15">
        <f>F141*$K$4</f>
        <v>0</v>
      </c>
      <c r="H141" s="14">
        <v>2445.428276174418</v>
      </c>
      <c r="I141" s="9">
        <f>IF(ABS(G141-H141)&lt;0.01,"ok","DIFF")</f>
        <v>0</v>
      </c>
    </row>
    <row r="142" spans="1:9">
      <c r="A142" s="6">
        <v>44928</v>
      </c>
      <c r="B142" s="7" t="s">
        <v>129</v>
      </c>
      <c r="C142" s="7" t="s">
        <v>184</v>
      </c>
      <c r="D142" s="14">
        <v>8512.398399335685</v>
      </c>
      <c r="E142" s="14">
        <v>164.7564086914062</v>
      </c>
      <c r="F142" s="14">
        <v>1402472.189625022</v>
      </c>
      <c r="G142" s="15">
        <f>F142*$K$4</f>
        <v>0</v>
      </c>
      <c r="H142" s="14">
        <v>1402.472189625023</v>
      </c>
      <c r="I142" s="9">
        <f>IF(ABS(G142-H142)&lt;0.01,"ok","DIFF")</f>
        <v>0</v>
      </c>
    </row>
    <row r="143" spans="1:9">
      <c r="A143" s="6">
        <v>44928</v>
      </c>
      <c r="B143" s="7" t="s">
        <v>127</v>
      </c>
      <c r="C143" s="7" t="s">
        <v>184</v>
      </c>
      <c r="D143" s="14">
        <v>9226.903902435499</v>
      </c>
      <c r="E143" s="14">
        <v>176.8211669921875</v>
      </c>
      <c r="F143" s="14">
        <v>1631511.915753414</v>
      </c>
      <c r="G143" s="15">
        <f>F143*$K$4</f>
        <v>0</v>
      </c>
      <c r="H143" s="14">
        <v>1631.511915753414</v>
      </c>
      <c r="I143" s="9">
        <f>IF(ABS(G143-H143)&lt;0.01,"ok","DIFF")</f>
        <v>0</v>
      </c>
    </row>
    <row r="144" spans="1:9">
      <c r="A144" s="6">
        <v>44928</v>
      </c>
      <c r="B144" s="7" t="s">
        <v>126</v>
      </c>
      <c r="C144" s="7" t="s">
        <v>184</v>
      </c>
      <c r="D144" s="14">
        <v>12434.54354105293</v>
      </c>
      <c r="E144" s="14">
        <v>134.5899353027344</v>
      </c>
      <c r="F144" s="14">
        <v>1673564.410709347</v>
      </c>
      <c r="G144" s="15">
        <f>F144*$K$4</f>
        <v>0</v>
      </c>
      <c r="H144" s="14">
        <v>1673.564410709347</v>
      </c>
      <c r="I144" s="9">
        <f>IF(ABS(G144-H144)&lt;0.01,"ok","DIFF")</f>
        <v>0</v>
      </c>
    </row>
    <row r="145" spans="1:9">
      <c r="A145" s="6">
        <v>45019</v>
      </c>
      <c r="B145" s="7" t="s">
        <v>126</v>
      </c>
      <c r="C145" s="7" t="s">
        <v>185</v>
      </c>
      <c r="D145" s="14">
        <v>12434.54354105293</v>
      </c>
      <c r="E145" s="14">
        <v>130.1426696777344</v>
      </c>
      <c r="F145" s="14">
        <v>1618264.692656657</v>
      </c>
      <c r="G145" s="15">
        <f>F145*$K$4</f>
        <v>0</v>
      </c>
      <c r="H145" s="14">
        <v>1618.264692656657</v>
      </c>
      <c r="I145" s="9">
        <f>IF(ABS(G145-H145)&lt;0.01,"ok","DIFF")</f>
        <v>0</v>
      </c>
    </row>
    <row r="146" spans="1:9">
      <c r="A146" s="6">
        <v>45019</v>
      </c>
      <c r="B146" s="7" t="s">
        <v>127</v>
      </c>
      <c r="C146" s="7" t="s">
        <v>185</v>
      </c>
      <c r="D146" s="14">
        <v>9226.903902435499</v>
      </c>
      <c r="E146" s="14">
        <v>177.4423522949219</v>
      </c>
      <c r="F146" s="14">
        <v>1637243.532847349</v>
      </c>
      <c r="G146" s="15">
        <f>F146*$K$4</f>
        <v>0</v>
      </c>
      <c r="H146" s="14">
        <v>1637.243532847349</v>
      </c>
      <c r="I146" s="9">
        <f>IF(ABS(G146-H146)&lt;0.01,"ok","DIFF")</f>
        <v>0</v>
      </c>
    </row>
    <row r="147" spans="1:9">
      <c r="A147" s="6">
        <v>45019</v>
      </c>
      <c r="B147" s="7" t="s">
        <v>129</v>
      </c>
      <c r="C147" s="7" t="s">
        <v>185</v>
      </c>
      <c r="D147" s="14">
        <v>8512.398399335685</v>
      </c>
      <c r="E147" s="14">
        <v>149.6740112304688</v>
      </c>
      <c r="F147" s="14">
        <v>1274084.813620394</v>
      </c>
      <c r="G147" s="15">
        <f>F147*$K$4</f>
        <v>0</v>
      </c>
      <c r="H147" s="14">
        <v>1274.084813620394</v>
      </c>
      <c r="I147" s="9">
        <f>IF(ABS(G147-H147)&lt;0.01,"ok","DIFF")</f>
        <v>0</v>
      </c>
    </row>
    <row r="148" spans="1:9">
      <c r="A148" s="6">
        <v>45019</v>
      </c>
      <c r="B148" s="7" t="s">
        <v>120</v>
      </c>
      <c r="C148" s="7" t="s">
        <v>185</v>
      </c>
      <c r="D148" s="14">
        <v>5216.123595246347</v>
      </c>
      <c r="E148" s="14">
        <v>280.0705871582031</v>
      </c>
      <c r="F148" s="14">
        <v>1460882.798010402</v>
      </c>
      <c r="G148" s="15">
        <f>F148*$K$4</f>
        <v>0</v>
      </c>
      <c r="H148" s="14">
        <v>1460.882798010402</v>
      </c>
      <c r="I148" s="9">
        <f>IF(ABS(G148-H148)&lt;0.01,"ok","DIFF")</f>
        <v>0</v>
      </c>
    </row>
    <row r="149" spans="1:9">
      <c r="A149" s="6">
        <v>45019</v>
      </c>
      <c r="B149" s="7" t="s">
        <v>111</v>
      </c>
      <c r="C149" s="7" t="s">
        <v>185</v>
      </c>
      <c r="D149" s="14">
        <v>2548.418996426992</v>
      </c>
      <c r="E149" s="14">
        <v>949.3851318359375</v>
      </c>
      <c r="F149" s="14">
        <v>2419431.104896048</v>
      </c>
      <c r="G149" s="15">
        <f>F149*$K$4</f>
        <v>0</v>
      </c>
      <c r="H149" s="14">
        <v>2419.431104896048</v>
      </c>
      <c r="I149" s="9">
        <f>IF(ABS(G149-H149)&lt;0.01,"ok","DIFF")</f>
        <v>0</v>
      </c>
    </row>
    <row r="150" spans="1:9">
      <c r="A150" s="6">
        <v>45019</v>
      </c>
      <c r="B150" s="7" t="s">
        <v>116</v>
      </c>
      <c r="C150" s="7" t="s">
        <v>185</v>
      </c>
      <c r="D150" s="14">
        <v>2395.186142864321</v>
      </c>
      <c r="E150" s="14">
        <v>318.0855712890625</v>
      </c>
      <c r="F150" s="14">
        <v>761874.1525966438</v>
      </c>
      <c r="G150" s="15">
        <f>F150*$K$4</f>
        <v>0</v>
      </c>
      <c r="H150" s="14">
        <v>761.8741525966437</v>
      </c>
      <c r="I150" s="9">
        <f>IF(ABS(G150-H150)&lt;0.01,"ok","DIFF")</f>
        <v>0</v>
      </c>
    </row>
    <row r="151" spans="1:9">
      <c r="A151" s="6">
        <v>45019</v>
      </c>
      <c r="B151" s="7" t="s">
        <v>128</v>
      </c>
      <c r="C151" s="7" t="s">
        <v>185</v>
      </c>
      <c r="D151" s="14">
        <v>804.4752205002503</v>
      </c>
      <c r="E151" s="14">
        <v>1943.258666992188</v>
      </c>
      <c r="F151" s="14">
        <v>1563303.444617562</v>
      </c>
      <c r="G151" s="15">
        <f>F151*$K$4</f>
        <v>0</v>
      </c>
      <c r="H151" s="14">
        <v>1563.303444617562</v>
      </c>
      <c r="I151" s="9">
        <f>IF(ABS(G151-H151)&lt;0.01,"ok","DIFF")</f>
        <v>0</v>
      </c>
    </row>
    <row r="152" spans="1:9">
      <c r="A152" s="6">
        <v>45019</v>
      </c>
      <c r="B152" s="7" t="s">
        <v>124</v>
      </c>
      <c r="C152" s="7" t="s">
        <v>185</v>
      </c>
      <c r="D152" s="14">
        <v>394.5366934175194</v>
      </c>
      <c r="E152" s="14">
        <v>1714.330810546875</v>
      </c>
      <c r="F152" s="14">
        <v>676366.4094169398</v>
      </c>
      <c r="G152" s="15">
        <f>F152*$K$4</f>
        <v>0</v>
      </c>
      <c r="H152" s="14">
        <v>676.3664094169399</v>
      </c>
      <c r="I152" s="9">
        <f>IF(ABS(G152-H152)&lt;0.01,"ok","DIFF")</f>
        <v>0</v>
      </c>
    </row>
    <row r="153" spans="1:9">
      <c r="A153" s="6">
        <v>45019</v>
      </c>
      <c r="B153" s="7" t="s">
        <v>125</v>
      </c>
      <c r="C153" s="7" t="s">
        <v>185</v>
      </c>
      <c r="D153" s="14">
        <v>375.4286138085033</v>
      </c>
      <c r="E153" s="14">
        <v>1530.680908203125</v>
      </c>
      <c r="F153" s="14">
        <v>574661.4115498401</v>
      </c>
      <c r="G153" s="15">
        <f>F153*$K$4</f>
        <v>0</v>
      </c>
      <c r="H153" s="14">
        <v>574.6614115498402</v>
      </c>
      <c r="I153" s="9">
        <f>IF(ABS(G153-H153)&lt;0.01,"ok","DIFF")</f>
        <v>0</v>
      </c>
    </row>
    <row r="154" spans="1:9">
      <c r="A154" s="6">
        <v>45019</v>
      </c>
      <c r="B154" s="7" t="s">
        <v>119</v>
      </c>
      <c r="C154" s="7" t="s">
        <v>185</v>
      </c>
      <c r="D154" s="14">
        <v>304.1703271586782</v>
      </c>
      <c r="E154" s="14">
        <v>1309.99462890625</v>
      </c>
      <c r="F154" s="14">
        <v>398461.4948505253</v>
      </c>
      <c r="G154" s="15">
        <f>F154*$K$4</f>
        <v>0</v>
      </c>
      <c r="H154" s="14">
        <v>398.4614948505254</v>
      </c>
      <c r="I154" s="9">
        <f>IF(ABS(G154-H154)&lt;0.01,"ok","DIFF")</f>
        <v>0</v>
      </c>
    </row>
    <row r="155" spans="1:9">
      <c r="A155" s="6">
        <v>45019</v>
      </c>
      <c r="B155" s="7" t="s">
        <v>118</v>
      </c>
      <c r="C155" s="7" t="s">
        <v>184</v>
      </c>
      <c r="D155" s="14">
        <v>455.7513983834939</v>
      </c>
      <c r="E155" s="14">
        <v>3268.828369140625</v>
      </c>
      <c r="F155" s="14">
        <v>1489773.100311476</v>
      </c>
      <c r="G155" s="15">
        <f>F155*$K$4</f>
        <v>0</v>
      </c>
      <c r="H155" s="14">
        <v>1489.773100311476</v>
      </c>
      <c r="I155" s="9">
        <f>IF(ABS(G155-H155)&lt;0.01,"ok","DIFF")</f>
        <v>0</v>
      </c>
    </row>
    <row r="156" spans="1:9">
      <c r="A156" s="6">
        <v>45019</v>
      </c>
      <c r="B156" s="7" t="s">
        <v>123</v>
      </c>
      <c r="C156" s="7" t="s">
        <v>184</v>
      </c>
      <c r="D156" s="14">
        <v>971.4635143613357</v>
      </c>
      <c r="E156" s="14">
        <v>1943.84326171875</v>
      </c>
      <c r="F156" s="14">
        <v>1888372.806396899</v>
      </c>
      <c r="G156" s="15">
        <f>F156*$K$4</f>
        <v>0</v>
      </c>
      <c r="H156" s="14">
        <v>1888.372806396899</v>
      </c>
      <c r="I156" s="9">
        <f>IF(ABS(G156-H156)&lt;0.01,"ok","DIFF")</f>
        <v>0</v>
      </c>
    </row>
    <row r="157" spans="1:9">
      <c r="A157" s="6">
        <v>45019</v>
      </c>
      <c r="B157" s="7" t="s">
        <v>133</v>
      </c>
      <c r="C157" s="7" t="s">
        <v>184</v>
      </c>
      <c r="D157" s="14">
        <v>1546.759846808198</v>
      </c>
      <c r="E157" s="14">
        <v>1072.268310546875</v>
      </c>
      <c r="F157" s="14">
        <v>1658541.567758769</v>
      </c>
      <c r="G157" s="15">
        <f>F157*$K$4</f>
        <v>0</v>
      </c>
      <c r="H157" s="14">
        <v>1658.54156775877</v>
      </c>
      <c r="I157" s="9">
        <f>IF(ABS(G157-H157)&lt;0.01,"ok","DIFF")</f>
        <v>0</v>
      </c>
    </row>
    <row r="158" spans="1:9">
      <c r="A158" s="6">
        <v>45019</v>
      </c>
      <c r="B158" s="7" t="s">
        <v>132</v>
      </c>
      <c r="C158" s="7" t="s">
        <v>184</v>
      </c>
      <c r="D158" s="14">
        <v>1617.546588682072</v>
      </c>
      <c r="E158" s="14">
        <v>1128.341918945312</v>
      </c>
      <c r="F158" s="14">
        <v>1825145.621856973</v>
      </c>
      <c r="G158" s="15">
        <f>F158*$K$4</f>
        <v>0</v>
      </c>
      <c r="H158" s="14">
        <v>1825.145621856973</v>
      </c>
      <c r="I158" s="9">
        <f>IF(ABS(G158-H158)&lt;0.01,"ok","DIFF")</f>
        <v>0</v>
      </c>
    </row>
    <row r="159" spans="1:9">
      <c r="A159" s="6">
        <v>45019</v>
      </c>
      <c r="B159" s="7" t="s">
        <v>134</v>
      </c>
      <c r="C159" s="7" t="s">
        <v>184</v>
      </c>
      <c r="D159" s="14">
        <v>4666.762193442239</v>
      </c>
      <c r="E159" s="14">
        <v>294.6012878417969</v>
      </c>
      <c r="F159" s="14">
        <v>1374834.152239492</v>
      </c>
      <c r="G159" s="15">
        <f>F159*$K$4</f>
        <v>0</v>
      </c>
      <c r="H159" s="14">
        <v>1374.834152239492</v>
      </c>
      <c r="I159" s="9">
        <f>IF(ABS(G159-H159)&lt;0.01,"ok","DIFF")</f>
        <v>0</v>
      </c>
    </row>
    <row r="160" spans="1:9">
      <c r="A160" s="6">
        <v>45019</v>
      </c>
      <c r="B160" s="7" t="s">
        <v>130</v>
      </c>
      <c r="C160" s="7" t="s">
        <v>184</v>
      </c>
      <c r="D160" s="14">
        <v>10347.64800058271</v>
      </c>
      <c r="E160" s="14">
        <v>206.2777404785156</v>
      </c>
      <c r="F160" s="14">
        <v>2134489.448827231</v>
      </c>
      <c r="G160" s="15">
        <f>F160*$K$4</f>
        <v>0</v>
      </c>
      <c r="H160" s="14">
        <v>2134.489448827231</v>
      </c>
      <c r="I160" s="9">
        <f>IF(ABS(G160-H160)&lt;0.01,"ok","DIFF")</f>
        <v>0</v>
      </c>
    </row>
    <row r="161" spans="1:9">
      <c r="A161" s="6">
        <v>45019</v>
      </c>
      <c r="B161" s="7" t="s">
        <v>131</v>
      </c>
      <c r="C161" s="7" t="s">
        <v>184</v>
      </c>
      <c r="D161" s="14">
        <v>12260.10470080206</v>
      </c>
      <c r="E161" s="14">
        <v>162.2068328857422</v>
      </c>
      <c r="F161" s="14">
        <v>1988672.754364702</v>
      </c>
      <c r="G161" s="15">
        <f>F161*$K$4</f>
        <v>0</v>
      </c>
      <c r="H161" s="14">
        <v>1988.672754364702</v>
      </c>
      <c r="I161" s="9">
        <f>IF(ABS(G161-H161)&lt;0.01,"ok","DIFF")</f>
        <v>0</v>
      </c>
    </row>
    <row r="162" spans="1:9">
      <c r="A162" s="6">
        <v>45110</v>
      </c>
      <c r="B162" s="7" t="s">
        <v>131</v>
      </c>
      <c r="C162" s="7" t="s">
        <v>185</v>
      </c>
      <c r="D162" s="14">
        <v>12260.10470080206</v>
      </c>
      <c r="E162" s="14">
        <v>174.4772796630859</v>
      </c>
      <c r="F162" s="14">
        <v>2139109.716580556</v>
      </c>
      <c r="G162" s="15">
        <f>F162*$K$4</f>
        <v>0</v>
      </c>
      <c r="H162" s="14">
        <v>2139.109716580556</v>
      </c>
      <c r="I162" s="9">
        <f>IF(ABS(G162-H162)&lt;0.01,"ok","DIFF")</f>
        <v>0</v>
      </c>
    </row>
    <row r="163" spans="1:9">
      <c r="A163" s="6">
        <v>45110</v>
      </c>
      <c r="B163" s="7" t="s">
        <v>130</v>
      </c>
      <c r="C163" s="7" t="s">
        <v>185</v>
      </c>
      <c r="D163" s="14">
        <v>10347.64800058271</v>
      </c>
      <c r="E163" s="14">
        <v>197.0578918457031</v>
      </c>
      <c r="F163" s="14">
        <v>2039085.700556234</v>
      </c>
      <c r="G163" s="15">
        <f>F163*$K$4</f>
        <v>0</v>
      </c>
      <c r="H163" s="14">
        <v>2039.085700556234</v>
      </c>
      <c r="I163" s="9">
        <f>IF(ABS(G163-H163)&lt;0.01,"ok","DIFF")</f>
        <v>0</v>
      </c>
    </row>
    <row r="164" spans="1:9">
      <c r="A164" s="6">
        <v>45110</v>
      </c>
      <c r="B164" s="7" t="s">
        <v>132</v>
      </c>
      <c r="C164" s="7" t="s">
        <v>185</v>
      </c>
      <c r="D164" s="14">
        <v>1617.546588682072</v>
      </c>
      <c r="E164" s="14">
        <v>1415.80419921875</v>
      </c>
      <c r="F164" s="14">
        <v>2290129.252688041</v>
      </c>
      <c r="G164" s="15">
        <f>F164*$K$4</f>
        <v>0</v>
      </c>
      <c r="H164" s="14">
        <v>2290.129252688041</v>
      </c>
      <c r="I164" s="9">
        <f>IF(ABS(G164-H164)&lt;0.01,"ok","DIFF")</f>
        <v>0</v>
      </c>
    </row>
    <row r="165" spans="1:9">
      <c r="A165" s="6">
        <v>45110</v>
      </c>
      <c r="B165" s="7" t="s">
        <v>118</v>
      </c>
      <c r="C165" s="7" t="s">
        <v>185</v>
      </c>
      <c r="D165" s="14">
        <v>455.7513983834939</v>
      </c>
      <c r="E165" s="14">
        <v>4280.98779296875</v>
      </c>
      <c r="F165" s="14">
        <v>1951066.173108175</v>
      </c>
      <c r="G165" s="15">
        <f>F165*$K$4</f>
        <v>0</v>
      </c>
      <c r="H165" s="14">
        <v>1951.066173108175</v>
      </c>
      <c r="I165" s="9">
        <f>IF(ABS(G165-H165)&lt;0.01,"ok","DIFF")</f>
        <v>0</v>
      </c>
    </row>
    <row r="166" spans="1:9">
      <c r="A166" s="6">
        <v>45110</v>
      </c>
      <c r="B166" s="7" t="s">
        <v>119</v>
      </c>
      <c r="C166" s="7" t="s">
        <v>185</v>
      </c>
      <c r="D166" s="14">
        <v>70.01179499516627</v>
      </c>
      <c r="E166" s="14">
        <v>1820.802856445312</v>
      </c>
      <c r="F166" s="14">
        <v>127477.6763120624</v>
      </c>
      <c r="G166" s="15">
        <f>F166*$K$4</f>
        <v>0</v>
      </c>
      <c r="H166" s="14">
        <v>127.4776763120624</v>
      </c>
      <c r="I166" s="9">
        <f>IF(ABS(G166-H166)&lt;0.01,"ok","DIFF")</f>
        <v>0</v>
      </c>
    </row>
    <row r="167" spans="1:9">
      <c r="A167" s="6">
        <v>45110</v>
      </c>
      <c r="B167" s="7" t="s">
        <v>125</v>
      </c>
      <c r="C167" s="7" t="s">
        <v>185</v>
      </c>
      <c r="D167" s="14">
        <v>1.972997944026702</v>
      </c>
      <c r="E167" s="14">
        <v>1802.155639648438</v>
      </c>
      <c r="F167" s="14">
        <v>3555.649371842493</v>
      </c>
      <c r="G167" s="15">
        <f>F167*$K$4</f>
        <v>0</v>
      </c>
      <c r="H167" s="14">
        <v>3.555649371842493</v>
      </c>
      <c r="I167" s="9">
        <f>IF(ABS(G167-H167)&lt;0.01,"ok","DIFF")</f>
        <v>0</v>
      </c>
    </row>
    <row r="168" spans="1:9">
      <c r="A168" s="6">
        <v>45110</v>
      </c>
      <c r="B168" s="7" t="s">
        <v>133</v>
      </c>
      <c r="C168" s="7" t="s">
        <v>184</v>
      </c>
      <c r="D168" s="14">
        <v>21.14287484438478</v>
      </c>
      <c r="E168" s="14">
        <v>1303.180297851562</v>
      </c>
      <c r="F168" s="14">
        <v>27552.97793714366</v>
      </c>
      <c r="G168" s="15">
        <f>F168*$K$4</f>
        <v>0</v>
      </c>
      <c r="H168" s="14">
        <v>27.55297793714366</v>
      </c>
      <c r="I168" s="9">
        <f>IF(ABS(G168-H168)&lt;0.01,"ok","DIFF")</f>
        <v>0</v>
      </c>
    </row>
    <row r="169" spans="1:9">
      <c r="A169" s="6">
        <v>45110</v>
      </c>
      <c r="B169" s="7" t="s">
        <v>123</v>
      </c>
      <c r="C169" s="7" t="s">
        <v>184</v>
      </c>
      <c r="D169" s="14">
        <v>67.63290947127962</v>
      </c>
      <c r="E169" s="14">
        <v>2161.085205078125</v>
      </c>
      <c r="F169" s="14">
        <v>146160.4800347706</v>
      </c>
      <c r="G169" s="15">
        <f>F169*$K$4</f>
        <v>0</v>
      </c>
      <c r="H169" s="14">
        <v>146.1604800347706</v>
      </c>
      <c r="I169" s="9">
        <f>IF(ABS(G169-H169)&lt;0.01,"ok","DIFF")</f>
        <v>0</v>
      </c>
    </row>
    <row r="170" spans="1:9">
      <c r="A170" s="6">
        <v>45110</v>
      </c>
      <c r="B170" s="7" t="s">
        <v>134</v>
      </c>
      <c r="C170" s="7" t="s">
        <v>184</v>
      </c>
      <c r="D170" s="14">
        <v>290.447585235449</v>
      </c>
      <c r="E170" s="14">
        <v>376.2198486328125</v>
      </c>
      <c r="F170" s="14">
        <v>109272.1465530465</v>
      </c>
      <c r="G170" s="15">
        <f>F170*$K$4</f>
        <v>0</v>
      </c>
      <c r="H170" s="14">
        <v>109.2721465530465</v>
      </c>
      <c r="I170" s="9">
        <f>IF(ABS(G170-H170)&lt;0.01,"ok","DIFF")</f>
        <v>0</v>
      </c>
    </row>
    <row r="171" spans="1:9">
      <c r="A171" s="6">
        <v>45110</v>
      </c>
      <c r="B171" s="7" t="s">
        <v>116</v>
      </c>
      <c r="C171" s="7" t="s">
        <v>184</v>
      </c>
      <c r="D171" s="14">
        <v>362.7859839338844</v>
      </c>
      <c r="E171" s="14">
        <v>397.6324462890625</v>
      </c>
      <c r="F171" s="14">
        <v>144255.478271015</v>
      </c>
      <c r="G171" s="15">
        <f>F171*$K$4</f>
        <v>0</v>
      </c>
      <c r="H171" s="14">
        <v>144.255478271015</v>
      </c>
      <c r="I171" s="9">
        <f>IF(ABS(G171-H171)&lt;0.01,"ok","DIFF")</f>
        <v>0</v>
      </c>
    </row>
    <row r="172" spans="1:9">
      <c r="A172" s="6">
        <v>45110</v>
      </c>
      <c r="B172" s="7" t="s">
        <v>107</v>
      </c>
      <c r="C172" s="7" t="s">
        <v>184</v>
      </c>
      <c r="D172" s="14">
        <v>636.47030221727</v>
      </c>
      <c r="E172" s="14">
        <v>3470.724365234375</v>
      </c>
      <c r="F172" s="14">
        <v>2209012.985653565</v>
      </c>
      <c r="G172" s="15">
        <f>F172*$K$4</f>
        <v>0</v>
      </c>
      <c r="H172" s="14">
        <v>2209.012985653565</v>
      </c>
      <c r="I172" s="9">
        <f>IF(ABS(G172-H172)&lt;0.01,"ok","DIFF")</f>
        <v>0</v>
      </c>
    </row>
    <row r="173" spans="1:9">
      <c r="A173" s="6">
        <v>45110</v>
      </c>
      <c r="B173" s="7" t="s">
        <v>137</v>
      </c>
      <c r="C173" s="7" t="s">
        <v>184</v>
      </c>
      <c r="D173" s="14">
        <v>753.9371404244547</v>
      </c>
      <c r="E173" s="14">
        <v>2286.01806640625</v>
      </c>
      <c r="F173" s="14">
        <v>1723513.923944969</v>
      </c>
      <c r="G173" s="15">
        <f>F173*$K$4</f>
        <v>0</v>
      </c>
      <c r="H173" s="14">
        <v>1723.513923944969</v>
      </c>
      <c r="I173" s="9">
        <f>IF(ABS(G173-H173)&lt;0.01,"ok","DIFF")</f>
        <v>0</v>
      </c>
    </row>
    <row r="174" spans="1:9">
      <c r="A174" s="6">
        <v>45110</v>
      </c>
      <c r="B174" s="7" t="s">
        <v>136</v>
      </c>
      <c r="C174" s="7" t="s">
        <v>184</v>
      </c>
      <c r="D174" s="14">
        <v>5231.407280352652</v>
      </c>
      <c r="E174" s="14">
        <v>386.3672180175781</v>
      </c>
      <c r="F174" s="14">
        <v>2021244.277226759</v>
      </c>
      <c r="G174" s="15">
        <f>F174*$K$4</f>
        <v>0</v>
      </c>
      <c r="H174" s="14">
        <v>2021.244277226759</v>
      </c>
      <c r="I174" s="9">
        <f>IF(ABS(G174-H174)&lt;0.01,"ok","DIFF")</f>
        <v>0</v>
      </c>
    </row>
    <row r="175" spans="1:9">
      <c r="A175" s="6">
        <v>45110</v>
      </c>
      <c r="B175" s="7" t="s">
        <v>135</v>
      </c>
      <c r="C175" s="7" t="s">
        <v>184</v>
      </c>
      <c r="D175" s="14">
        <v>15368.34031131363</v>
      </c>
      <c r="E175" s="14">
        <v>140.0494842529297</v>
      </c>
      <c r="F175" s="14">
        <v>2152328.134422983</v>
      </c>
      <c r="G175" s="15">
        <f>F175*$K$4</f>
        <v>0</v>
      </c>
      <c r="H175" s="14">
        <v>2152.328134422983</v>
      </c>
      <c r="I175" s="9">
        <f>IF(ABS(G175-H175)&lt;0.01,"ok","DIFF")</f>
        <v>0</v>
      </c>
    </row>
    <row r="176" spans="1:9">
      <c r="A176" s="6">
        <v>45202</v>
      </c>
      <c r="B176" s="7" t="s">
        <v>135</v>
      </c>
      <c r="C176" s="7" t="s">
        <v>185</v>
      </c>
      <c r="D176" s="14">
        <v>8174.781516984225</v>
      </c>
      <c r="E176" s="14">
        <v>255.8791046142578</v>
      </c>
      <c r="F176" s="14">
        <v>2091755.774983108</v>
      </c>
      <c r="G176" s="15">
        <f>F176*$K$4</f>
        <v>0</v>
      </c>
      <c r="H176" s="14">
        <v>2091.755774983108</v>
      </c>
      <c r="I176" s="9">
        <f>IF(ABS(G176-H176)&lt;0.01,"ok","DIFF")</f>
        <v>0</v>
      </c>
    </row>
    <row r="177" spans="1:9">
      <c r="A177" s="6">
        <v>45202</v>
      </c>
      <c r="B177" s="7" t="s">
        <v>116</v>
      </c>
      <c r="C177" s="7" t="s">
        <v>185</v>
      </c>
      <c r="D177" s="14">
        <v>7805.598676847854</v>
      </c>
      <c r="E177" s="14">
        <v>377.4611511230469</v>
      </c>
      <c r="F177" s="14">
        <v>2946310.261767522</v>
      </c>
      <c r="G177" s="15">
        <f>F177*$K$4</f>
        <v>0</v>
      </c>
      <c r="H177" s="14">
        <v>2946.310261767523</v>
      </c>
      <c r="I177" s="9">
        <f>IF(ABS(G177-H177)&lt;0.01,"ok","DIFF")</f>
        <v>0</v>
      </c>
    </row>
    <row r="178" spans="1:9">
      <c r="A178" s="6">
        <v>45202</v>
      </c>
      <c r="B178" s="7" t="s">
        <v>136</v>
      </c>
      <c r="C178" s="7" t="s">
        <v>185</v>
      </c>
      <c r="D178" s="14">
        <v>5231.407280352652</v>
      </c>
      <c r="E178" s="14">
        <v>408.7337646484375</v>
      </c>
      <c r="F178" s="14">
        <v>2138252.792107784</v>
      </c>
      <c r="G178" s="15">
        <f>F178*$K$4</f>
        <v>0</v>
      </c>
      <c r="H178" s="14">
        <v>2138.252792107784</v>
      </c>
      <c r="I178" s="9">
        <f>IF(ABS(G178-H178)&lt;0.01,"ok","DIFF")</f>
        <v>0</v>
      </c>
    </row>
    <row r="179" spans="1:9">
      <c r="A179" s="6">
        <v>45202</v>
      </c>
      <c r="B179" s="7" t="s">
        <v>133</v>
      </c>
      <c r="C179" s="7" t="s">
        <v>185</v>
      </c>
      <c r="D179" s="14">
        <v>1567.902721652583</v>
      </c>
      <c r="E179" s="14">
        <v>1512.394897460938</v>
      </c>
      <c r="F179" s="14">
        <v>2371288.075942482</v>
      </c>
      <c r="G179" s="15">
        <f>F179*$K$4</f>
        <v>0</v>
      </c>
      <c r="H179" s="14">
        <v>2371.288075942482</v>
      </c>
      <c r="I179" s="9">
        <f>IF(ABS(G179-H179)&lt;0.01,"ok","DIFF")</f>
        <v>0</v>
      </c>
    </row>
    <row r="180" spans="1:9">
      <c r="A180" s="6">
        <v>45202</v>
      </c>
      <c r="B180" s="7" t="s">
        <v>125</v>
      </c>
      <c r="C180" s="7" t="s">
        <v>185</v>
      </c>
      <c r="D180" s="14">
        <v>1185.541191169529</v>
      </c>
      <c r="E180" s="14">
        <v>1611.566650390625</v>
      </c>
      <c r="F180" s="14">
        <v>1910578.646353189</v>
      </c>
      <c r="G180" s="15">
        <f>F180*$K$4</f>
        <v>0</v>
      </c>
      <c r="H180" s="14">
        <v>1910.578646353189</v>
      </c>
      <c r="I180" s="9">
        <f>IF(ABS(G180-H180)&lt;0.01,"ok","DIFF")</f>
        <v>0</v>
      </c>
    </row>
    <row r="181" spans="1:9">
      <c r="A181" s="6">
        <v>45202</v>
      </c>
      <c r="B181" s="7" t="s">
        <v>123</v>
      </c>
      <c r="C181" s="7" t="s">
        <v>185</v>
      </c>
      <c r="D181" s="14">
        <v>1039.096423832615</v>
      </c>
      <c r="E181" s="14">
        <v>2069.596923828125</v>
      </c>
      <c r="F181" s="14">
        <v>2150510.762324786</v>
      </c>
      <c r="G181" s="15">
        <f>F181*$K$4</f>
        <v>0</v>
      </c>
      <c r="H181" s="14">
        <v>2150.510762324786</v>
      </c>
      <c r="I181" s="9">
        <f>IF(ABS(G181-H181)&lt;0.01,"ok","DIFF")</f>
        <v>0</v>
      </c>
    </row>
    <row r="182" spans="1:9">
      <c r="A182" s="6">
        <v>45202</v>
      </c>
      <c r="B182" s="7" t="s">
        <v>137</v>
      </c>
      <c r="C182" s="7" t="s">
        <v>185</v>
      </c>
      <c r="D182" s="14">
        <v>753.9371404244547</v>
      </c>
      <c r="E182" s="14">
        <v>2691.90771484375</v>
      </c>
      <c r="F182" s="14">
        <v>2029529.204815825</v>
      </c>
      <c r="G182" s="15">
        <f>F182*$K$4</f>
        <v>0</v>
      </c>
      <c r="H182" s="14">
        <v>2029.529204815825</v>
      </c>
      <c r="I182" s="9">
        <f>IF(ABS(G182-H182)&lt;0.01,"ok","DIFF")</f>
        <v>0</v>
      </c>
    </row>
    <row r="183" spans="1:9">
      <c r="A183" s="6">
        <v>45202</v>
      </c>
      <c r="B183" s="7" t="s">
        <v>107</v>
      </c>
      <c r="C183" s="7" t="s">
        <v>185</v>
      </c>
      <c r="D183" s="14">
        <v>235.611226427569</v>
      </c>
      <c r="E183" s="14">
        <v>5293.7451171875</v>
      </c>
      <c r="F183" s="14">
        <v>1247265.779455502</v>
      </c>
      <c r="G183" s="15">
        <f>F183*$K$4</f>
        <v>0</v>
      </c>
      <c r="H183" s="14">
        <v>1247.265779455502</v>
      </c>
      <c r="I183" s="9">
        <f>IF(ABS(G183-H183)&lt;0.01,"ok","DIFF")</f>
        <v>0</v>
      </c>
    </row>
    <row r="184" spans="1:9">
      <c r="A184" s="6">
        <v>45202</v>
      </c>
      <c r="B184" s="7" t="s">
        <v>119</v>
      </c>
      <c r="C184" s="7" t="s">
        <v>184</v>
      </c>
      <c r="D184" s="14">
        <v>118.5777454194696</v>
      </c>
      <c r="E184" s="14">
        <v>1897.434448242188</v>
      </c>
      <c r="F184" s="14">
        <v>224993.4989537938</v>
      </c>
      <c r="G184" s="15">
        <f>F184*$K$4</f>
        <v>0</v>
      </c>
      <c r="H184" s="14">
        <v>224.9934989537938</v>
      </c>
      <c r="I184" s="9">
        <f>IF(ABS(G184-H184)&lt;0.01,"ok","DIFF")</f>
        <v>0</v>
      </c>
    </row>
    <row r="185" spans="1:9">
      <c r="A185" s="6">
        <v>45202</v>
      </c>
      <c r="B185" s="7" t="s">
        <v>134</v>
      </c>
      <c r="C185" s="7" t="s">
        <v>184</v>
      </c>
      <c r="D185" s="14">
        <v>125.0585531783918</v>
      </c>
      <c r="E185" s="14">
        <v>441.2068786621094</v>
      </c>
      <c r="F185" s="14">
        <v>55176.69389783766</v>
      </c>
      <c r="G185" s="15">
        <f>F185*$K$4</f>
        <v>0</v>
      </c>
      <c r="H185" s="14">
        <v>55.17669389783766</v>
      </c>
      <c r="I185" s="9">
        <f>IF(ABS(G185-H185)&lt;0.01,"ok","DIFF")</f>
        <v>0</v>
      </c>
    </row>
    <row r="186" spans="1:9">
      <c r="A186" s="6">
        <v>45202</v>
      </c>
      <c r="B186" s="7" t="s">
        <v>141</v>
      </c>
      <c r="C186" s="7" t="s">
        <v>184</v>
      </c>
      <c r="D186" s="14">
        <v>254.1580931496369</v>
      </c>
      <c r="E186" s="14">
        <v>8300.13671875</v>
      </c>
      <c r="F186" s="14">
        <v>2109546.921318784</v>
      </c>
      <c r="G186" s="15">
        <f>F186*$K$4</f>
        <v>0</v>
      </c>
      <c r="H186" s="14">
        <v>2109.546921318784</v>
      </c>
      <c r="I186" s="9">
        <f>IF(ABS(G186-H186)&lt;0.01,"ok","DIFF")</f>
        <v>0</v>
      </c>
    </row>
    <row r="187" spans="1:9">
      <c r="A187" s="6">
        <v>45202</v>
      </c>
      <c r="B187" s="7" t="s">
        <v>139</v>
      </c>
      <c r="C187" s="7" t="s">
        <v>184</v>
      </c>
      <c r="D187" s="14">
        <v>1075.163932087597</v>
      </c>
      <c r="E187" s="14">
        <v>2991.88134765625</v>
      </c>
      <c r="F187" s="14">
        <v>3216762.914085634</v>
      </c>
      <c r="G187" s="15">
        <f>F187*$K$4</f>
        <v>0</v>
      </c>
      <c r="H187" s="14">
        <v>3216.762914085634</v>
      </c>
      <c r="I187" s="9">
        <f>IF(ABS(G187-H187)&lt;0.01,"ok","DIFF")</f>
        <v>0</v>
      </c>
    </row>
    <row r="188" spans="1:9">
      <c r="A188" s="6">
        <v>45202</v>
      </c>
      <c r="B188" s="7" t="s">
        <v>138</v>
      </c>
      <c r="C188" s="7" t="s">
        <v>184</v>
      </c>
      <c r="D188" s="14">
        <v>1788.363836531926</v>
      </c>
      <c r="E188" s="14">
        <v>1853.876342773438</v>
      </c>
      <c r="F188" s="14">
        <v>3315405.408818081</v>
      </c>
      <c r="G188" s="15">
        <f>F188*$K$4</f>
        <v>0</v>
      </c>
      <c r="H188" s="14">
        <v>3315.405408818081</v>
      </c>
      <c r="I188" s="9">
        <f>IF(ABS(G188-H188)&lt;0.01,"ok","DIFF")</f>
        <v>0</v>
      </c>
    </row>
    <row r="189" spans="1:9">
      <c r="A189" s="6">
        <v>45202</v>
      </c>
      <c r="B189" s="7" t="s">
        <v>140</v>
      </c>
      <c r="C189" s="7" t="s">
        <v>184</v>
      </c>
      <c r="D189" s="14">
        <v>2216.360923787225</v>
      </c>
      <c r="E189" s="14">
        <v>1260.085205078125</v>
      </c>
      <c r="F189" s="14">
        <v>2792803.609177568</v>
      </c>
      <c r="G189" s="15">
        <f>F189*$K$4</f>
        <v>0</v>
      </c>
      <c r="H189" s="14">
        <v>2792.803609177568</v>
      </c>
      <c r="I189" s="9">
        <f>IF(ABS(G189-H189)&lt;0.01,"ok","DIFF")</f>
        <v>0</v>
      </c>
    </row>
    <row r="190" spans="1:9">
      <c r="A190" s="6">
        <v>45202</v>
      </c>
      <c r="B190" s="7" t="s">
        <v>131</v>
      </c>
      <c r="C190" s="7" t="s">
        <v>184</v>
      </c>
      <c r="D190" s="14">
        <v>13574.59907532033</v>
      </c>
      <c r="E190" s="14">
        <v>223.1256256103516</v>
      </c>
      <c r="F190" s="14">
        <v>3028840.911090548</v>
      </c>
      <c r="G190" s="15">
        <f>F190*$K$4</f>
        <v>0</v>
      </c>
      <c r="H190" s="14">
        <v>3028.840911090548</v>
      </c>
      <c r="I190" s="9">
        <f>IF(ABS(G190-H190)&lt;0.01,"ok","DIFF")</f>
        <v>0</v>
      </c>
    </row>
    <row r="191" spans="1:9">
      <c r="A191" s="6">
        <v>45202</v>
      </c>
      <c r="B191" s="7" t="s">
        <v>142</v>
      </c>
      <c r="C191" s="7" t="s">
        <v>184</v>
      </c>
      <c r="D191" s="14">
        <v>22531.47192187499</v>
      </c>
      <c r="E191" s="14">
        <v>93.56797027587891</v>
      </c>
      <c r="F191" s="14">
        <v>2108224.095057799</v>
      </c>
      <c r="G191" s="15">
        <f>F191*$K$4</f>
        <v>0</v>
      </c>
      <c r="H191" s="14">
        <v>2108.224095057799</v>
      </c>
      <c r="I191" s="9">
        <f>IF(ABS(G191-H191)&lt;0.01,"ok","DIFF")</f>
        <v>0</v>
      </c>
    </row>
    <row r="192" spans="1:9">
      <c r="A192" s="6">
        <v>45292</v>
      </c>
      <c r="B192" s="7" t="s">
        <v>142</v>
      </c>
      <c r="C192" s="7" t="s">
        <v>185</v>
      </c>
      <c r="D192" s="14">
        <v>22531.47192187499</v>
      </c>
      <c r="E192" s="14">
        <v>87.25723266601562</v>
      </c>
      <c r="F192" s="14">
        <v>1966033.887794844</v>
      </c>
      <c r="G192" s="15">
        <f>F192*$K$4</f>
        <v>0</v>
      </c>
      <c r="H192" s="14">
        <v>1966.033887794844</v>
      </c>
      <c r="I192" s="9">
        <f>IF(ABS(G192-H192)&lt;0.01,"ok","DIFF")</f>
        <v>0</v>
      </c>
    </row>
    <row r="193" spans="1:9">
      <c r="A193" s="6">
        <v>45292</v>
      </c>
      <c r="B193" s="7" t="s">
        <v>135</v>
      </c>
      <c r="C193" s="7" t="s">
        <v>185</v>
      </c>
      <c r="D193" s="14">
        <v>7193.558794329403</v>
      </c>
      <c r="E193" s="14">
        <v>376.5974426269531</v>
      </c>
      <c r="F193" s="14">
        <v>2709075.845331082</v>
      </c>
      <c r="G193" s="15">
        <f>F193*$K$4</f>
        <v>0</v>
      </c>
      <c r="H193" s="14">
        <v>2709.075845331082</v>
      </c>
      <c r="I193" s="9">
        <f>IF(ABS(G193-H193)&lt;0.01,"ok","DIFF")</f>
        <v>0</v>
      </c>
    </row>
    <row r="194" spans="1:9">
      <c r="A194" s="6">
        <v>45292</v>
      </c>
      <c r="B194" s="7" t="s">
        <v>134</v>
      </c>
      <c r="C194" s="7" t="s">
        <v>185</v>
      </c>
      <c r="D194" s="14">
        <v>5082.268331856079</v>
      </c>
      <c r="E194" s="14">
        <v>446.4197387695312</v>
      </c>
      <c r="F194" s="14">
        <v>2268824.901063852</v>
      </c>
      <c r="G194" s="15">
        <f>F194*$K$4</f>
        <v>0</v>
      </c>
      <c r="H194" s="14">
        <v>2268.824901063852</v>
      </c>
      <c r="I194" s="9">
        <f>IF(ABS(G194-H194)&lt;0.01,"ok","DIFF")</f>
        <v>0</v>
      </c>
    </row>
    <row r="195" spans="1:9">
      <c r="A195" s="6">
        <v>45292</v>
      </c>
      <c r="B195" s="7" t="s">
        <v>131</v>
      </c>
      <c r="C195" s="7" t="s">
        <v>185</v>
      </c>
      <c r="D195" s="14">
        <v>3564.980417911967</v>
      </c>
      <c r="E195" s="14">
        <v>289.3058471679688</v>
      </c>
      <c r="F195" s="14">
        <v>1031369.679941241</v>
      </c>
      <c r="G195" s="15">
        <f>F195*$K$4</f>
        <v>0</v>
      </c>
      <c r="H195" s="14">
        <v>1031.369679941241</v>
      </c>
      <c r="I195" s="9">
        <f>IF(ABS(G195-H195)&lt;0.01,"ok","DIFF")</f>
        <v>0</v>
      </c>
    </row>
    <row r="196" spans="1:9">
      <c r="A196" s="6">
        <v>45292</v>
      </c>
      <c r="B196" s="7" t="s">
        <v>140</v>
      </c>
      <c r="C196" s="7" t="s">
        <v>185</v>
      </c>
      <c r="D196" s="14">
        <v>2216.360923787225</v>
      </c>
      <c r="E196" s="14">
        <v>1222.783569335938</v>
      </c>
      <c r="F196" s="14">
        <v>2710129.721325239</v>
      </c>
      <c r="G196" s="15">
        <f>F196*$K$4</f>
        <v>0</v>
      </c>
      <c r="H196" s="14">
        <v>2710.129721325239</v>
      </c>
      <c r="I196" s="9">
        <f>IF(ABS(G196-H196)&lt;0.01,"ok","DIFF")</f>
        <v>0</v>
      </c>
    </row>
    <row r="197" spans="1:9">
      <c r="A197" s="6">
        <v>45292</v>
      </c>
      <c r="B197" s="7" t="s">
        <v>119</v>
      </c>
      <c r="C197" s="7" t="s">
        <v>185</v>
      </c>
      <c r="D197" s="14">
        <v>1091.5693479949</v>
      </c>
      <c r="E197" s="14">
        <v>2740.254150390625</v>
      </c>
      <c r="F197" s="14">
        <v>2991177.436282212</v>
      </c>
      <c r="G197" s="15">
        <f>F197*$K$4</f>
        <v>0</v>
      </c>
      <c r="H197" s="14">
        <v>2991.177436282212</v>
      </c>
      <c r="I197" s="9">
        <f>IF(ABS(G197-H197)&lt;0.01,"ok","DIFF")</f>
        <v>0</v>
      </c>
    </row>
    <row r="198" spans="1:9">
      <c r="A198" s="6">
        <v>45292</v>
      </c>
      <c r="B198" s="7" t="s">
        <v>138</v>
      </c>
      <c r="C198" s="7" t="s">
        <v>185</v>
      </c>
      <c r="D198" s="14">
        <v>385.6567409018546</v>
      </c>
      <c r="E198" s="14">
        <v>2354.226318359375</v>
      </c>
      <c r="F198" s="14">
        <v>907923.2492838486</v>
      </c>
      <c r="G198" s="15">
        <f>F198*$K$4</f>
        <v>0</v>
      </c>
      <c r="H198" s="14">
        <v>907.9232492838486</v>
      </c>
      <c r="I198" s="9">
        <f>IF(ABS(G198-H198)&lt;0.01,"ok","DIFF")</f>
        <v>0</v>
      </c>
    </row>
    <row r="199" spans="1:9">
      <c r="A199" s="6">
        <v>45292</v>
      </c>
      <c r="B199" s="7" t="s">
        <v>141</v>
      </c>
      <c r="C199" s="7" t="s">
        <v>185</v>
      </c>
      <c r="D199" s="14">
        <v>254.1580931496369</v>
      </c>
      <c r="E199" s="14">
        <v>7697.33349609375</v>
      </c>
      <c r="F199" s="14">
        <v>1956339.603704015</v>
      </c>
      <c r="G199" s="15">
        <f>F199*$K$4</f>
        <v>0</v>
      </c>
      <c r="H199" s="14">
        <v>1956.339603704015</v>
      </c>
      <c r="I199" s="9">
        <f>IF(ABS(G199-H199)&lt;0.01,"ok","DIFF")</f>
        <v>0</v>
      </c>
    </row>
    <row r="200" spans="1:9">
      <c r="A200" s="6">
        <v>45292</v>
      </c>
      <c r="B200" s="7" t="s">
        <v>139</v>
      </c>
      <c r="C200" s="7" t="s">
        <v>185</v>
      </c>
      <c r="D200" s="14">
        <v>149.42487678156</v>
      </c>
      <c r="E200" s="14">
        <v>3432.108642578125</v>
      </c>
      <c r="F200" s="14">
        <v>512842.4110181634</v>
      </c>
      <c r="G200" s="15">
        <f>F200*$K$4</f>
        <v>0</v>
      </c>
      <c r="H200" s="14">
        <v>512.8424110181635</v>
      </c>
      <c r="I200" s="9">
        <f>IF(ABS(G200-H200)&lt;0.01,"ok","DIFF")</f>
        <v>0</v>
      </c>
    </row>
    <row r="201" spans="1:9">
      <c r="A201" s="6">
        <v>45292</v>
      </c>
      <c r="B201" s="7" t="s">
        <v>107</v>
      </c>
      <c r="C201" s="7" t="s">
        <v>184</v>
      </c>
      <c r="D201" s="14">
        <v>12.86396417448452</v>
      </c>
      <c r="E201" s="14">
        <v>5383.841796875</v>
      </c>
      <c r="F201" s="14">
        <v>69257.54799609237</v>
      </c>
      <c r="G201" s="15">
        <f>F201*$K$4</f>
        <v>0</v>
      </c>
      <c r="H201" s="14">
        <v>69.25754799609237</v>
      </c>
      <c r="I201" s="9">
        <f>IF(ABS(G201-H201)&lt;0.01,"ok","DIFF")</f>
        <v>0</v>
      </c>
    </row>
    <row r="202" spans="1:9">
      <c r="A202" s="6">
        <v>45292</v>
      </c>
      <c r="B202" s="7" t="s">
        <v>143</v>
      </c>
      <c r="C202" s="7" t="s">
        <v>184</v>
      </c>
      <c r="D202" s="14">
        <v>160.0218840762258</v>
      </c>
      <c r="E202" s="14">
        <v>21724.298828125</v>
      </c>
      <c r="F202" s="14">
        <v>3476363.228711506</v>
      </c>
      <c r="G202" s="15">
        <f>F202*$K$4</f>
        <v>0</v>
      </c>
      <c r="H202" s="14">
        <v>3476.363228711507</v>
      </c>
      <c r="I202" s="9">
        <f>IF(ABS(G202-H202)&lt;0.01,"ok","DIFF")</f>
        <v>0</v>
      </c>
    </row>
    <row r="203" spans="1:9">
      <c r="A203" s="6">
        <v>45292</v>
      </c>
      <c r="B203" s="7" t="s">
        <v>144</v>
      </c>
      <c r="C203" s="7" t="s">
        <v>184</v>
      </c>
      <c r="D203" s="14">
        <v>442.1693487611242</v>
      </c>
      <c r="E203" s="14">
        <v>6392.810546875</v>
      </c>
      <c r="F203" s="14">
        <v>2826704.876264965</v>
      </c>
      <c r="G203" s="15">
        <f>F203*$K$4</f>
        <v>0</v>
      </c>
      <c r="H203" s="14">
        <v>2826.704876264965</v>
      </c>
      <c r="I203" s="9">
        <f>IF(ABS(G203-H203)&lt;0.01,"ok","DIFF")</f>
        <v>0</v>
      </c>
    </row>
    <row r="204" spans="1:9">
      <c r="A204" s="6">
        <v>45292</v>
      </c>
      <c r="B204" s="7" t="s">
        <v>145</v>
      </c>
      <c r="C204" s="7" t="s">
        <v>184</v>
      </c>
      <c r="D204" s="14">
        <v>778.294080263814</v>
      </c>
      <c r="E204" s="14">
        <v>3417.649169921875</v>
      </c>
      <c r="F204" s="14">
        <v>2659936.117368733</v>
      </c>
      <c r="G204" s="15">
        <f>F204*$K$4</f>
        <v>0</v>
      </c>
      <c r="H204" s="14">
        <v>2659.936117368733</v>
      </c>
      <c r="I204" s="9">
        <f>IF(ABS(G204-H204)&lt;0.01,"ok","DIFF")</f>
        <v>0</v>
      </c>
    </row>
    <row r="205" spans="1:9">
      <c r="A205" s="6">
        <v>45292</v>
      </c>
      <c r="B205" s="7" t="s">
        <v>133</v>
      </c>
      <c r="C205" s="7" t="s">
        <v>184</v>
      </c>
      <c r="D205" s="14">
        <v>1309.278069995214</v>
      </c>
      <c r="E205" s="14">
        <v>1995.817749023438</v>
      </c>
      <c r="F205" s="14">
        <v>2613080.410503598</v>
      </c>
      <c r="G205" s="15">
        <f>F205*$K$4</f>
        <v>0</v>
      </c>
      <c r="H205" s="14">
        <v>2613.080410503598</v>
      </c>
      <c r="I205" s="9">
        <f>IF(ABS(G205-H205)&lt;0.01,"ok","DIFF")</f>
        <v>0</v>
      </c>
    </row>
    <row r="206" spans="1:9">
      <c r="A206" s="6">
        <v>45292</v>
      </c>
      <c r="B206" s="7" t="s">
        <v>127</v>
      </c>
      <c r="C206" s="7" t="s">
        <v>184</v>
      </c>
      <c r="D206" s="14">
        <v>7674.628091794299</v>
      </c>
      <c r="E206" s="14">
        <v>327.4864196777344</v>
      </c>
      <c r="F206" s="14">
        <v>2513336.476139877</v>
      </c>
      <c r="G206" s="15">
        <f>F206*$K$4</f>
        <v>0</v>
      </c>
      <c r="H206" s="14">
        <v>2513.336476139878</v>
      </c>
      <c r="I206" s="9">
        <f>IF(ABS(G206-H206)&lt;0.01,"ok","DIFF")</f>
        <v>0</v>
      </c>
    </row>
    <row r="207" spans="1:9">
      <c r="A207" s="6">
        <v>45292</v>
      </c>
      <c r="B207" s="7" t="s">
        <v>112</v>
      </c>
      <c r="C207" s="7" t="s">
        <v>184</v>
      </c>
      <c r="D207" s="14">
        <v>13046.1677999092</v>
      </c>
      <c r="E207" s="14">
        <v>219.29541015625</v>
      </c>
      <c r="F207" s="14">
        <v>2860964.718648349</v>
      </c>
      <c r="G207" s="15">
        <f>F207*$K$4</f>
        <v>0</v>
      </c>
      <c r="H207" s="14">
        <v>2860.964718648349</v>
      </c>
      <c r="I207" s="9">
        <f>IF(ABS(G207-H207)&lt;0.01,"ok","DIFF")</f>
        <v>0</v>
      </c>
    </row>
    <row r="208" spans="1:9">
      <c r="A208" s="6">
        <v>45383</v>
      </c>
      <c r="B208" s="7" t="s">
        <v>112</v>
      </c>
      <c r="C208" s="7" t="s">
        <v>185</v>
      </c>
      <c r="D208" s="14">
        <v>13046.1677999092</v>
      </c>
      <c r="E208" s="14">
        <v>262.1732177734375</v>
      </c>
      <c r="F208" s="14">
        <v>3420355.791714402</v>
      </c>
      <c r="G208" s="15">
        <f>F208*$K$4</f>
        <v>0</v>
      </c>
      <c r="H208" s="14">
        <v>3420.355791714402</v>
      </c>
      <c r="I208" s="9">
        <f>IF(ABS(G208-H208)&lt;0.01,"ok","DIFF")</f>
        <v>0</v>
      </c>
    </row>
    <row r="209" spans="1:9">
      <c r="A209" s="6">
        <v>45383</v>
      </c>
      <c r="B209" s="7" t="s">
        <v>127</v>
      </c>
      <c r="C209" s="7" t="s">
        <v>185</v>
      </c>
      <c r="D209" s="14">
        <v>7674.628091794299</v>
      </c>
      <c r="E209" s="14">
        <v>383.5332641601562</v>
      </c>
      <c r="F209" s="14">
        <v>2943475.163261099</v>
      </c>
      <c r="G209" s="15">
        <f>F209*$K$4</f>
        <v>0</v>
      </c>
      <c r="H209" s="14">
        <v>2943.475163261099</v>
      </c>
      <c r="I209" s="9">
        <f>IF(ABS(G209-H209)&lt;0.01,"ok","DIFF")</f>
        <v>0</v>
      </c>
    </row>
    <row r="210" spans="1:9">
      <c r="A210" s="6">
        <v>45383</v>
      </c>
      <c r="B210" s="7" t="s">
        <v>139</v>
      </c>
      <c r="C210" s="7" t="s">
        <v>185</v>
      </c>
      <c r="D210" s="14">
        <v>925.7390553060375</v>
      </c>
      <c r="E210" s="14">
        <v>3736.383544921875</v>
      </c>
      <c r="F210" s="14">
        <v>3458916.173137</v>
      </c>
      <c r="G210" s="15">
        <f>F210*$K$4</f>
        <v>0</v>
      </c>
      <c r="H210" s="14">
        <v>3458.916173137</v>
      </c>
      <c r="I210" s="9">
        <f>IF(ABS(G210-H210)&lt;0.01,"ok","DIFF")</f>
        <v>0</v>
      </c>
    </row>
    <row r="211" spans="1:9">
      <c r="A211" s="6">
        <v>45383</v>
      </c>
      <c r="B211" s="7" t="s">
        <v>107</v>
      </c>
      <c r="C211" s="7" t="s">
        <v>185</v>
      </c>
      <c r="D211" s="14">
        <v>413.7230399641855</v>
      </c>
      <c r="E211" s="14">
        <v>5057.05029296875</v>
      </c>
      <c r="F211" s="14">
        <v>2092218.220458806</v>
      </c>
      <c r="G211" s="15">
        <f>F211*$K$4</f>
        <v>0</v>
      </c>
      <c r="H211" s="14">
        <v>2092.218220458807</v>
      </c>
      <c r="I211" s="9">
        <f>IF(ABS(G211-H211)&lt;0.01,"ok","DIFF")</f>
        <v>0</v>
      </c>
    </row>
    <row r="212" spans="1:9">
      <c r="A212" s="6">
        <v>45383</v>
      </c>
      <c r="B212" s="7" t="s">
        <v>144</v>
      </c>
      <c r="C212" s="7" t="s">
        <v>185</v>
      </c>
      <c r="D212" s="14">
        <v>23.817821552591</v>
      </c>
      <c r="E212" s="14">
        <v>8626.158203125</v>
      </c>
      <c r="F212" s="14">
        <v>205456.2967664503</v>
      </c>
      <c r="G212" s="15">
        <f>F212*$K$4</f>
        <v>0</v>
      </c>
      <c r="H212" s="14">
        <v>205.4562967664503</v>
      </c>
      <c r="I212" s="9">
        <f>IF(ABS(G212-H212)&lt;0.01,"ok","DIFF")</f>
        <v>0</v>
      </c>
    </row>
    <row r="213" spans="1:9">
      <c r="A213" s="6">
        <v>45383</v>
      </c>
      <c r="B213" s="7" t="s">
        <v>143</v>
      </c>
      <c r="C213" s="7" t="s">
        <v>185</v>
      </c>
      <c r="D213" s="14">
        <v>17.39652648074318</v>
      </c>
      <c r="E213" s="14">
        <v>29537.91796875</v>
      </c>
      <c r="F213" s="14">
        <v>513857.1721293791</v>
      </c>
      <c r="G213" s="15">
        <f>F213*$K$4</f>
        <v>0</v>
      </c>
      <c r="H213" s="14">
        <v>513.857172129379</v>
      </c>
      <c r="I213" s="9">
        <f>IF(ABS(G213-H213)&lt;0.01,"ok","DIFF")</f>
        <v>0</v>
      </c>
    </row>
    <row r="214" spans="1:9">
      <c r="A214" s="6">
        <v>45383</v>
      </c>
      <c r="B214" s="7" t="s">
        <v>145</v>
      </c>
      <c r="C214" s="7" t="s">
        <v>184</v>
      </c>
      <c r="D214" s="14">
        <v>41.31311956204706</v>
      </c>
      <c r="E214" s="14">
        <v>4058.61962890625</v>
      </c>
      <c r="F214" s="14">
        <v>167674.237985875</v>
      </c>
      <c r="G214" s="15">
        <f>F214*$K$4</f>
        <v>0</v>
      </c>
      <c r="H214" s="14">
        <v>167.674237985875</v>
      </c>
      <c r="I214" s="9">
        <f>IF(ABS(G214-H214)&lt;0.01,"ok","DIFF")</f>
        <v>0</v>
      </c>
    </row>
    <row r="215" spans="1:9">
      <c r="A215" s="6">
        <v>45383</v>
      </c>
      <c r="B215" s="7" t="s">
        <v>138</v>
      </c>
      <c r="C215" s="7" t="s">
        <v>184</v>
      </c>
      <c r="D215" s="14">
        <v>103.3125767234651</v>
      </c>
      <c r="E215" s="14">
        <v>2572.120849609375</v>
      </c>
      <c r="F215" s="14">
        <v>265732.4326172928</v>
      </c>
      <c r="G215" s="15">
        <f>F215*$K$4</f>
        <v>0</v>
      </c>
      <c r="H215" s="14">
        <v>265.7324326172928</v>
      </c>
      <c r="I215" s="9">
        <f>IF(ABS(G215-H215)&lt;0.01,"ok","DIFF")</f>
        <v>0</v>
      </c>
    </row>
    <row r="216" spans="1:9">
      <c r="A216" s="6">
        <v>45383</v>
      </c>
      <c r="B216" s="7" t="s">
        <v>133</v>
      </c>
      <c r="C216" s="7" t="s">
        <v>184</v>
      </c>
      <c r="D216" s="14">
        <v>381.5945036823471</v>
      </c>
      <c r="E216" s="14">
        <v>2122.846435546875</v>
      </c>
      <c r="F216" s="14">
        <v>810066.5319663493</v>
      </c>
      <c r="G216" s="15">
        <f>F216*$K$4</f>
        <v>0</v>
      </c>
      <c r="H216" s="14">
        <v>810.0665319663493</v>
      </c>
      <c r="I216" s="9">
        <f>IF(ABS(G216-H216)&lt;0.01,"ok","DIFF")</f>
        <v>0</v>
      </c>
    </row>
    <row r="217" spans="1:9">
      <c r="A217" s="6">
        <v>45383</v>
      </c>
      <c r="B217" s="7" t="s">
        <v>131</v>
      </c>
      <c r="C217" s="7" t="s">
        <v>184</v>
      </c>
      <c r="D217" s="14">
        <v>547.4659146932972</v>
      </c>
      <c r="E217" s="14">
        <v>322.8762512207031</v>
      </c>
      <c r="F217" s="14">
        <v>176763.7422072851</v>
      </c>
      <c r="G217" s="15">
        <f>F217*$K$4</f>
        <v>0</v>
      </c>
      <c r="H217" s="14">
        <v>176.7637422072851</v>
      </c>
      <c r="I217" s="9">
        <f>IF(ABS(G217-H217)&lt;0.01,"ok","DIFF")</f>
        <v>0</v>
      </c>
    </row>
    <row r="218" spans="1:9">
      <c r="A218" s="6">
        <v>45383</v>
      </c>
      <c r="B218" s="7" t="s">
        <v>147</v>
      </c>
      <c r="C218" s="7" t="s">
        <v>184</v>
      </c>
      <c r="D218" s="14">
        <v>679.5175411163383</v>
      </c>
      <c r="E218" s="14">
        <v>3877.052490234375</v>
      </c>
      <c r="F218" s="14">
        <v>2634525.174943039</v>
      </c>
      <c r="G218" s="15">
        <f>F218*$K$4</f>
        <v>0</v>
      </c>
      <c r="H218" s="14">
        <v>2634.525174943039</v>
      </c>
      <c r="I218" s="9">
        <f>IF(ABS(G218-H218)&lt;0.01,"ok","DIFF")</f>
        <v>0</v>
      </c>
    </row>
    <row r="219" spans="1:9">
      <c r="A219" s="6">
        <v>45383</v>
      </c>
      <c r="B219" s="7" t="s">
        <v>119</v>
      </c>
      <c r="C219" s="7" t="s">
        <v>184</v>
      </c>
      <c r="D219" s="14">
        <v>834.8947439453312</v>
      </c>
      <c r="E219" s="14">
        <v>3323.877197265625</v>
      </c>
      <c r="F219" s="14">
        <v>2775087.601516809</v>
      </c>
      <c r="G219" s="15">
        <f>F219*$K$4</f>
        <v>0</v>
      </c>
      <c r="H219" s="14">
        <v>2775.087601516809</v>
      </c>
      <c r="I219" s="9">
        <f>IF(ABS(G219-H219)&lt;0.01,"ok","DIFF")</f>
        <v>0</v>
      </c>
    </row>
    <row r="220" spans="1:9">
      <c r="A220" s="6">
        <v>45383</v>
      </c>
      <c r="B220" s="7" t="s">
        <v>146</v>
      </c>
      <c r="C220" s="7" t="s">
        <v>184</v>
      </c>
      <c r="D220" s="14">
        <v>3176.757690546248</v>
      </c>
      <c r="E220" s="14">
        <v>924.4093017578125</v>
      </c>
      <c r="F220" s="14">
        <v>2936624.358571618</v>
      </c>
      <c r="G220" s="15">
        <f>F220*$K$4</f>
        <v>0</v>
      </c>
      <c r="H220" s="14">
        <v>2936.624358571618</v>
      </c>
      <c r="I220" s="9">
        <f>IF(ABS(G220-H220)&lt;0.01,"ok","DIFF")</f>
        <v>0</v>
      </c>
    </row>
    <row r="221" spans="1:9">
      <c r="A221" s="6">
        <v>45383</v>
      </c>
      <c r="B221" s="7" t="s">
        <v>120</v>
      </c>
      <c r="C221" s="7" t="s">
        <v>184</v>
      </c>
      <c r="D221" s="14">
        <v>5126.249625895869</v>
      </c>
      <c r="E221" s="14">
        <v>554.5109252929688</v>
      </c>
      <c r="F221" s="14">
        <v>2842561.423338253</v>
      </c>
      <c r="G221" s="15">
        <f>F221*$K$4</f>
        <v>0</v>
      </c>
      <c r="H221" s="14">
        <v>2842.561423338253</v>
      </c>
      <c r="I221" s="9">
        <f>IF(ABS(G221-H221)&lt;0.01,"ok","DIFF")</f>
        <v>0</v>
      </c>
    </row>
    <row r="222" spans="1:9">
      <c r="A222" s="6">
        <v>45474</v>
      </c>
      <c r="B222" s="7" t="s">
        <v>131</v>
      </c>
      <c r="C222" s="7" t="s">
        <v>185</v>
      </c>
      <c r="D222" s="14">
        <v>10557.08457210166</v>
      </c>
      <c r="E222" s="14">
        <v>348.7176818847656</v>
      </c>
      <c r="F222" s="14">
        <v>3681442.059444713</v>
      </c>
      <c r="G222" s="15">
        <f>F222*$K$4</f>
        <v>0</v>
      </c>
      <c r="H222" s="14">
        <v>3681.442059444713</v>
      </c>
      <c r="I222" s="9">
        <f>IF(ABS(G222-H222)&lt;0.01,"ok","DIFF")</f>
        <v>0</v>
      </c>
    </row>
    <row r="223" spans="1:9">
      <c r="A223" s="6">
        <v>45474</v>
      </c>
      <c r="B223" s="7" t="s">
        <v>120</v>
      </c>
      <c r="C223" s="7" t="s">
        <v>185</v>
      </c>
      <c r="D223" s="14">
        <v>5126.249625895869</v>
      </c>
      <c r="E223" s="14">
        <v>638.6531372070312</v>
      </c>
      <c r="F223" s="14">
        <v>3273895.405684767</v>
      </c>
      <c r="G223" s="15">
        <f>F223*$K$4</f>
        <v>0</v>
      </c>
      <c r="H223" s="14">
        <v>3273.895405684767</v>
      </c>
      <c r="I223" s="9">
        <f>IF(ABS(G223-H223)&lt;0.01,"ok","DIFF")</f>
        <v>0</v>
      </c>
    </row>
    <row r="224" spans="1:9">
      <c r="A224" s="6">
        <v>45474</v>
      </c>
      <c r="B224" s="7" t="s">
        <v>146</v>
      </c>
      <c r="C224" s="7" t="s">
        <v>185</v>
      </c>
      <c r="D224" s="14">
        <v>3176.757690546248</v>
      </c>
      <c r="E224" s="14">
        <v>804.6480102539062</v>
      </c>
      <c r="F224" s="14">
        <v>2556171.754756833</v>
      </c>
      <c r="G224" s="15">
        <f>F224*$K$4</f>
        <v>0</v>
      </c>
      <c r="H224" s="14">
        <v>2556.171754756833</v>
      </c>
      <c r="I224" s="9">
        <f>IF(ABS(G224-H224)&lt;0.01,"ok","DIFF")</f>
        <v>0</v>
      </c>
    </row>
    <row r="225" spans="1:9">
      <c r="A225" s="6">
        <v>45474</v>
      </c>
      <c r="B225" s="7" t="s">
        <v>133</v>
      </c>
      <c r="C225" s="7" t="s">
        <v>185</v>
      </c>
      <c r="D225" s="14">
        <v>1690.872573677561</v>
      </c>
      <c r="E225" s="14">
        <v>2336.708984375</v>
      </c>
      <c r="F225" s="14">
        <v>3951077.134345635</v>
      </c>
      <c r="G225" s="15">
        <f>F225*$K$4</f>
        <v>0</v>
      </c>
      <c r="H225" s="14">
        <v>3951.077134345635</v>
      </c>
      <c r="I225" s="9">
        <f>IF(ABS(G225-H225)&lt;0.01,"ok","DIFF")</f>
        <v>0</v>
      </c>
    </row>
    <row r="226" spans="1:9">
      <c r="A226" s="6">
        <v>45474</v>
      </c>
      <c r="B226" s="7" t="s">
        <v>119</v>
      </c>
      <c r="C226" s="7" t="s">
        <v>185</v>
      </c>
      <c r="D226" s="14">
        <v>834.8947439453312</v>
      </c>
      <c r="E226" s="14">
        <v>5268.0908203125</v>
      </c>
      <c r="F226" s="14">
        <v>4398301.336505555</v>
      </c>
      <c r="G226" s="15">
        <f>F226*$K$4</f>
        <v>0</v>
      </c>
      <c r="H226" s="14">
        <v>4398.301336505555</v>
      </c>
      <c r="I226" s="9">
        <f>IF(ABS(G226-H226)&lt;0.01,"ok","DIFF")</f>
        <v>0</v>
      </c>
    </row>
    <row r="227" spans="1:9">
      <c r="A227" s="6">
        <v>45474</v>
      </c>
      <c r="B227" s="7" t="s">
        <v>145</v>
      </c>
      <c r="C227" s="7" t="s">
        <v>185</v>
      </c>
      <c r="D227" s="14">
        <v>819.607199825861</v>
      </c>
      <c r="E227" s="14">
        <v>4538.54833984375</v>
      </c>
      <c r="F227" s="14">
        <v>3719826.896093646</v>
      </c>
      <c r="G227" s="15">
        <f>F227*$K$4</f>
        <v>0</v>
      </c>
      <c r="H227" s="14">
        <v>3719.826896093646</v>
      </c>
      <c r="I227" s="9">
        <f>IF(ABS(G227-H227)&lt;0.01,"ok","DIFF")</f>
        <v>0</v>
      </c>
    </row>
    <row r="228" spans="1:9">
      <c r="A228" s="6">
        <v>45474</v>
      </c>
      <c r="B228" s="7" t="s">
        <v>147</v>
      </c>
      <c r="C228" s="7" t="s">
        <v>185</v>
      </c>
      <c r="D228" s="14">
        <v>102.5586748113847</v>
      </c>
      <c r="E228" s="14">
        <v>5504.33349609375</v>
      </c>
      <c r="F228" s="14">
        <v>564517.1490792909</v>
      </c>
      <c r="G228" s="15">
        <f>F228*$K$4</f>
        <v>0</v>
      </c>
      <c r="H228" s="14">
        <v>564.5171490792909</v>
      </c>
      <c r="I228" s="9">
        <f>IF(ABS(G228-H228)&lt;0.01,"ok","DIFF")</f>
        <v>0</v>
      </c>
    </row>
    <row r="229" spans="1:9">
      <c r="A229" s="6">
        <v>45474</v>
      </c>
      <c r="B229" s="7" t="s">
        <v>143</v>
      </c>
      <c r="C229" s="7" t="s">
        <v>184</v>
      </c>
      <c r="D229" s="14">
        <v>0.8327787256816634</v>
      </c>
      <c r="E229" s="14">
        <v>33408.0390625</v>
      </c>
      <c r="F229" s="14">
        <v>27821.50419799198</v>
      </c>
      <c r="G229" s="15">
        <f>F229*$K$4</f>
        <v>0</v>
      </c>
      <c r="H229" s="14">
        <v>27.82150419799198</v>
      </c>
      <c r="I229" s="9">
        <f>IF(ABS(G229-H229)&lt;0.01,"ok","DIFF")</f>
        <v>0</v>
      </c>
    </row>
    <row r="230" spans="1:9">
      <c r="A230" s="6">
        <v>45474</v>
      </c>
      <c r="B230" s="7" t="s">
        <v>144</v>
      </c>
      <c r="C230" s="7" t="s">
        <v>184</v>
      </c>
      <c r="D230" s="14">
        <v>57.36391803921094</v>
      </c>
      <c r="E230" s="14">
        <v>9167.76171875</v>
      </c>
      <c r="F230" s="14">
        <v>525898.7318373907</v>
      </c>
      <c r="G230" s="15">
        <f>F230*$K$4</f>
        <v>0</v>
      </c>
      <c r="H230" s="14">
        <v>525.8987318373908</v>
      </c>
      <c r="I230" s="9">
        <f>IF(ABS(G230-H230)&lt;0.01,"ok","DIFF")</f>
        <v>0</v>
      </c>
    </row>
    <row r="231" spans="1:9">
      <c r="A231" s="6">
        <v>45474</v>
      </c>
      <c r="B231" s="7" t="s">
        <v>138</v>
      </c>
      <c r="C231" s="7" t="s">
        <v>184</v>
      </c>
      <c r="D231" s="14">
        <v>91.90959542943187</v>
      </c>
      <c r="E231" s="14">
        <v>2746.125732421875</v>
      </c>
      <c r="F231" s="14">
        <v>252395.3050652468</v>
      </c>
      <c r="G231" s="15">
        <f>F231*$K$4</f>
        <v>0</v>
      </c>
      <c r="H231" s="14">
        <v>252.3953050652468</v>
      </c>
      <c r="I231" s="9">
        <f>IF(ABS(G231-H231)&lt;0.01,"ok","DIFF")</f>
        <v>0</v>
      </c>
    </row>
    <row r="232" spans="1:9">
      <c r="A232" s="6">
        <v>45474</v>
      </c>
      <c r="B232" s="7" t="s">
        <v>149</v>
      </c>
      <c r="C232" s="7" t="s">
        <v>184</v>
      </c>
      <c r="D232" s="14">
        <v>2670.779087460154</v>
      </c>
      <c r="E232" s="14">
        <v>1587.539672851562</v>
      </c>
      <c r="F232" s="14">
        <v>4239967.758765287</v>
      </c>
      <c r="G232" s="15">
        <f>F232*$K$4</f>
        <v>0</v>
      </c>
      <c r="H232" s="14">
        <v>4239.967758765287</v>
      </c>
      <c r="I232" s="9">
        <f>IF(ABS(G232-H232)&lt;0.01,"ok","DIFF")</f>
        <v>0</v>
      </c>
    </row>
    <row r="233" spans="1:9">
      <c r="A233" s="6">
        <v>45474</v>
      </c>
      <c r="B233" s="7" t="s">
        <v>148</v>
      </c>
      <c r="C233" s="7" t="s">
        <v>184</v>
      </c>
      <c r="D233" s="14">
        <v>3594.276292057599</v>
      </c>
      <c r="E233" s="14">
        <v>1416.131958007812</v>
      </c>
      <c r="F233" s="14">
        <v>5089969.523092587</v>
      </c>
      <c r="G233" s="15">
        <f>F233*$K$4</f>
        <v>0</v>
      </c>
      <c r="H233" s="14">
        <v>5089.969523092587</v>
      </c>
      <c r="I233" s="9">
        <f>IF(ABS(G233-H233)&lt;0.01,"ok","DIFF")</f>
        <v>0</v>
      </c>
    </row>
    <row r="234" spans="1:9">
      <c r="A234" s="6">
        <v>45474</v>
      </c>
      <c r="B234" s="7" t="s">
        <v>151</v>
      </c>
      <c r="C234" s="7" t="s">
        <v>184</v>
      </c>
      <c r="D234" s="14">
        <v>5845.433814379019</v>
      </c>
      <c r="E234" s="14">
        <v>450.6776428222656</v>
      </c>
      <c r="F234" s="14">
        <v>2634406.332737901</v>
      </c>
      <c r="G234" s="15">
        <f>F234*$K$4</f>
        <v>0</v>
      </c>
      <c r="H234" s="14">
        <v>2634.406332737901</v>
      </c>
      <c r="I234" s="9">
        <f>IF(ABS(G234-H234)&lt;0.01,"ok","DIFF")</f>
        <v>0</v>
      </c>
    </row>
    <row r="235" spans="1:9">
      <c r="A235" s="6">
        <v>45474</v>
      </c>
      <c r="B235" s="7" t="s">
        <v>127</v>
      </c>
      <c r="C235" s="7" t="s">
        <v>184</v>
      </c>
      <c r="D235" s="14">
        <v>7591.509753565736</v>
      </c>
      <c r="E235" s="14">
        <v>411.947998046875</v>
      </c>
      <c r="F235" s="14">
        <v>3127307.24513473</v>
      </c>
      <c r="G235" s="15">
        <f>F235*$K$4</f>
        <v>0</v>
      </c>
      <c r="H235" s="14">
        <v>3127.30724513473</v>
      </c>
      <c r="I235" s="9">
        <f>IF(ABS(G235-H235)&lt;0.01,"ok","DIFF")</f>
        <v>0</v>
      </c>
    </row>
    <row r="236" spans="1:9">
      <c r="A236" s="6">
        <v>45474</v>
      </c>
      <c r="B236" s="7" t="s">
        <v>112</v>
      </c>
      <c r="C236" s="7" t="s">
        <v>184</v>
      </c>
      <c r="D236" s="14">
        <v>10863.58211470793</v>
      </c>
      <c r="E236" s="14">
        <v>308.4501342773438</v>
      </c>
      <c r="F236" s="14">
        <v>3350873.36201461</v>
      </c>
      <c r="G236" s="15">
        <f>F236*$K$4</f>
        <v>0</v>
      </c>
      <c r="H236" s="14">
        <v>3350.87336201461</v>
      </c>
      <c r="I236" s="9">
        <f>IF(ABS(G236-H236)&lt;0.01,"ok","DIFF")</f>
        <v>0</v>
      </c>
    </row>
    <row r="237" spans="1:9">
      <c r="A237" s="6">
        <v>45474</v>
      </c>
      <c r="B237" s="7" t="s">
        <v>150</v>
      </c>
      <c r="C237" s="7" t="s">
        <v>184</v>
      </c>
      <c r="D237" s="14">
        <v>13984.14344628937</v>
      </c>
      <c r="E237" s="14">
        <v>203.9700012207031</v>
      </c>
      <c r="F237" s="14">
        <v>2852345.755810131</v>
      </c>
      <c r="G237" s="15">
        <f>F237*$K$4</f>
        <v>0</v>
      </c>
      <c r="H237" s="14">
        <v>2852.345755810131</v>
      </c>
      <c r="I237" s="9">
        <f>IF(ABS(G237-H237)&lt;0.01,"ok","DIFF")</f>
        <v>0</v>
      </c>
    </row>
    <row r="238" spans="1:9">
      <c r="A238" s="6">
        <v>45566</v>
      </c>
      <c r="B238" s="7" t="s">
        <v>112</v>
      </c>
      <c r="C238" s="7" t="s">
        <v>185</v>
      </c>
      <c r="D238" s="14">
        <v>10863.58211470793</v>
      </c>
      <c r="E238" s="14">
        <v>331.019287109375</v>
      </c>
      <c r="F238" s="14">
        <v>3596055.207064775</v>
      </c>
      <c r="G238" s="15">
        <f>F238*$K$4</f>
        <v>0</v>
      </c>
      <c r="H238" s="14">
        <v>3596.055207064775</v>
      </c>
      <c r="I238" s="9">
        <f>IF(ABS(G238-H238)&lt;0.01,"ok","DIFF")</f>
        <v>0</v>
      </c>
    </row>
    <row r="239" spans="1:9">
      <c r="A239" s="6">
        <v>45566</v>
      </c>
      <c r="B239" s="7" t="s">
        <v>127</v>
      </c>
      <c r="C239" s="7" t="s">
        <v>185</v>
      </c>
      <c r="D239" s="14">
        <v>7591.509753565736</v>
      </c>
      <c r="E239" s="14">
        <v>445.6014709472656</v>
      </c>
      <c r="F239" s="14">
        <v>3382787.912899406</v>
      </c>
      <c r="G239" s="15">
        <f>F239*$K$4</f>
        <v>0</v>
      </c>
      <c r="H239" s="14">
        <v>3382.787912899406</v>
      </c>
      <c r="I239" s="9">
        <f>IF(ABS(G239-H239)&lt;0.01,"ok","DIFF")</f>
        <v>0</v>
      </c>
    </row>
    <row r="240" spans="1:9">
      <c r="A240" s="6">
        <v>45566</v>
      </c>
      <c r="B240" s="7" t="s">
        <v>151</v>
      </c>
      <c r="C240" s="7" t="s">
        <v>185</v>
      </c>
      <c r="D240" s="14">
        <v>5845.433814379019</v>
      </c>
      <c r="E240" s="14">
        <v>540.4476928710938</v>
      </c>
      <c r="F240" s="14">
        <v>3159151.218811818</v>
      </c>
      <c r="G240" s="15">
        <f>F240*$K$4</f>
        <v>0</v>
      </c>
      <c r="H240" s="14">
        <v>3159.151218811819</v>
      </c>
      <c r="I240" s="9">
        <f>IF(ABS(G240-H240)&lt;0.01,"ok","DIFF")</f>
        <v>0</v>
      </c>
    </row>
    <row r="241" spans="1:9">
      <c r="A241" s="6">
        <v>45566</v>
      </c>
      <c r="B241" s="7" t="s">
        <v>150</v>
      </c>
      <c r="C241" s="7" t="s">
        <v>185</v>
      </c>
      <c r="D241" s="14">
        <v>1645.067693470739</v>
      </c>
      <c r="E241" s="14">
        <v>274.1499938964844</v>
      </c>
      <c r="F241" s="14">
        <v>450995.2981243067</v>
      </c>
      <c r="G241" s="15">
        <f>F241*$K$4</f>
        <v>0</v>
      </c>
      <c r="H241" s="14">
        <v>450.9952981243067</v>
      </c>
      <c r="I241" s="9">
        <f>IF(ABS(G241-H241)&lt;0.01,"ok","DIFF")</f>
        <v>0</v>
      </c>
    </row>
    <row r="242" spans="1:9">
      <c r="A242" s="6">
        <v>45566</v>
      </c>
      <c r="B242" s="7" t="s">
        <v>149</v>
      </c>
      <c r="C242" s="7" t="s">
        <v>185</v>
      </c>
      <c r="D242" s="14">
        <v>341.9269037872009</v>
      </c>
      <c r="E242" s="14">
        <v>2165.136962890625</v>
      </c>
      <c r="F242" s="14">
        <v>740318.5779964151</v>
      </c>
      <c r="G242" s="15">
        <f>F242*$K$4</f>
        <v>0</v>
      </c>
      <c r="H242" s="14">
        <v>740.3185779964151</v>
      </c>
      <c r="I242" s="9">
        <f>IF(ABS(G242-H242)&lt;0.01,"ok","DIFF")</f>
        <v>0</v>
      </c>
    </row>
    <row r="243" spans="1:9">
      <c r="A243" s="6">
        <v>45566</v>
      </c>
      <c r="B243" s="7" t="s">
        <v>143</v>
      </c>
      <c r="C243" s="7" t="s">
        <v>185</v>
      </c>
      <c r="D243" s="14">
        <v>143.4581363211643</v>
      </c>
      <c r="E243" s="14">
        <v>37090.39453125</v>
      </c>
      <c r="F243" s="14">
        <v>5320918.874869828</v>
      </c>
      <c r="G243" s="15">
        <f>F243*$K$4</f>
        <v>0</v>
      </c>
      <c r="H243" s="14">
        <v>5320.918874869828</v>
      </c>
      <c r="I243" s="9">
        <f>IF(ABS(G243-H243)&lt;0.01,"ok","DIFF")</f>
        <v>0</v>
      </c>
    </row>
    <row r="244" spans="1:9">
      <c r="A244" s="6">
        <v>45566</v>
      </c>
      <c r="B244" s="7" t="s">
        <v>147</v>
      </c>
      <c r="C244" s="7" t="s">
        <v>185</v>
      </c>
      <c r="D244" s="14">
        <v>107.0908355071622</v>
      </c>
      <c r="E244" s="14">
        <v>7597.08154296875</v>
      </c>
      <c r="F244" s="14">
        <v>813577.8098525647</v>
      </c>
      <c r="G244" s="15">
        <f>F244*$K$4</f>
        <v>0</v>
      </c>
      <c r="H244" s="14">
        <v>813.5778098525648</v>
      </c>
      <c r="I244" s="9">
        <f>IF(ABS(G244-H244)&lt;0.01,"ok","DIFF")</f>
        <v>0</v>
      </c>
    </row>
    <row r="245" spans="1:9">
      <c r="A245" s="6">
        <v>45566</v>
      </c>
      <c r="B245" s="7" t="s">
        <v>148</v>
      </c>
      <c r="C245" s="7" t="s">
        <v>185</v>
      </c>
      <c r="D245" s="14">
        <v>58.7819338553536</v>
      </c>
      <c r="E245" s="14">
        <v>1663.678955078125</v>
      </c>
      <c r="F245" s="14">
        <v>97794.26629394613</v>
      </c>
      <c r="G245" s="15">
        <f>F245*$K$4</f>
        <v>0</v>
      </c>
      <c r="H245" s="14">
        <v>97.79426629394614</v>
      </c>
      <c r="I245" s="9">
        <f>IF(ABS(G245-H245)&lt;0.01,"ok","DIFF")</f>
        <v>0</v>
      </c>
    </row>
    <row r="246" spans="1:9">
      <c r="A246" s="6">
        <v>45566</v>
      </c>
      <c r="B246" s="7" t="s">
        <v>138</v>
      </c>
      <c r="C246" s="7" t="s">
        <v>185</v>
      </c>
      <c r="D246" s="14">
        <v>41.64916539372075</v>
      </c>
      <c r="E246" s="14">
        <v>3666.187255859375</v>
      </c>
      <c r="F246" s="14">
        <v>152693.6393836383</v>
      </c>
      <c r="G246" s="15">
        <f>F246*$K$4</f>
        <v>0</v>
      </c>
      <c r="H246" s="14">
        <v>152.6936393836383</v>
      </c>
      <c r="I246" s="9">
        <f>IF(ABS(G246-H246)&lt;0.01,"ok","DIFF")</f>
        <v>0</v>
      </c>
    </row>
    <row r="247" spans="1:9">
      <c r="A247" s="6">
        <v>45566</v>
      </c>
      <c r="B247" s="7" t="s">
        <v>144</v>
      </c>
      <c r="C247" s="7" t="s">
        <v>185</v>
      </c>
      <c r="D247" s="14">
        <v>21.45500880352898</v>
      </c>
      <c r="E247" s="14">
        <v>11692.3984375</v>
      </c>
      <c r="F247" s="14">
        <v>250860.511410931</v>
      </c>
      <c r="G247" s="15">
        <f>F247*$K$4</f>
        <v>0</v>
      </c>
      <c r="H247" s="14">
        <v>250.8605114109311</v>
      </c>
      <c r="I247" s="9">
        <f>IF(ABS(G247-H247)&lt;0.01,"ok","DIFF")</f>
        <v>0</v>
      </c>
    </row>
    <row r="248" spans="1:9">
      <c r="A248" s="6">
        <v>45566</v>
      </c>
      <c r="B248" s="7" t="s">
        <v>87</v>
      </c>
      <c r="C248" s="7" t="s">
        <v>184</v>
      </c>
      <c r="D248" s="14">
        <v>250.1784744161462</v>
      </c>
      <c r="E248" s="14">
        <v>14189.4853515625</v>
      </c>
      <c r="F248" s="14">
        <v>3549903.79800416</v>
      </c>
      <c r="G248" s="15">
        <f>F248*$K$4</f>
        <v>0</v>
      </c>
      <c r="H248" s="14">
        <v>3549.90379800416</v>
      </c>
      <c r="I248" s="9">
        <f>IF(ABS(G248-H248)&lt;0.01,"ok","DIFF")</f>
        <v>0</v>
      </c>
    </row>
    <row r="249" spans="1:9">
      <c r="A249" s="6">
        <v>45566</v>
      </c>
      <c r="B249" s="7" t="s">
        <v>153</v>
      </c>
      <c r="C249" s="7" t="s">
        <v>184</v>
      </c>
      <c r="D249" s="14">
        <v>924.1290986150202</v>
      </c>
      <c r="E249" s="14">
        <v>4896.974609375</v>
      </c>
      <c r="F249" s="14">
        <v>4525436.731702359</v>
      </c>
      <c r="G249" s="15">
        <f>F249*$K$4</f>
        <v>0</v>
      </c>
      <c r="H249" s="14">
        <v>4525.43673170236</v>
      </c>
      <c r="I249" s="9">
        <f>IF(ABS(G249-H249)&lt;0.01,"ok","DIFF")</f>
        <v>0</v>
      </c>
    </row>
    <row r="250" spans="1:9">
      <c r="A250" s="6">
        <v>45566</v>
      </c>
      <c r="B250" s="7" t="s">
        <v>152</v>
      </c>
      <c r="C250" s="7" t="s">
        <v>184</v>
      </c>
      <c r="D250" s="14">
        <v>1751.593685231458</v>
      </c>
      <c r="E250" s="14">
        <v>3308.166259765625</v>
      </c>
      <c r="F250" s="14">
        <v>5794563.130301242</v>
      </c>
      <c r="G250" s="15">
        <f>F250*$K$4</f>
        <v>0</v>
      </c>
      <c r="H250" s="14">
        <v>5794.563130301241</v>
      </c>
      <c r="I250" s="9">
        <f>IF(ABS(G250-H250)&lt;0.01,"ok","DIFF")</f>
        <v>0</v>
      </c>
    </row>
    <row r="251" spans="1:9">
      <c r="A251" s="6">
        <v>45566</v>
      </c>
      <c r="B251" s="7" t="s">
        <v>154</v>
      </c>
      <c r="C251" s="7" t="s">
        <v>184</v>
      </c>
      <c r="D251" s="14">
        <v>5701.320131062098</v>
      </c>
      <c r="E251" s="14">
        <v>712.002685546875</v>
      </c>
      <c r="F251" s="14">
        <v>4059355.244478675</v>
      </c>
      <c r="G251" s="15">
        <f>F251*$K$4</f>
        <v>0</v>
      </c>
      <c r="H251" s="14">
        <v>4059.355244478675</v>
      </c>
      <c r="I251" s="9">
        <f>IF(ABS(G251-H251)&lt;0.01,"ok","DIFF")</f>
        <v>0</v>
      </c>
    </row>
    <row r="252" spans="1:9">
      <c r="A252" s="6">
        <v>45658</v>
      </c>
      <c r="B252" s="7" t="s">
        <v>150</v>
      </c>
      <c r="C252" s="7" t="s">
        <v>185</v>
      </c>
      <c r="D252" s="14">
        <v>12339.07575281864</v>
      </c>
      <c r="E252" s="14">
        <v>276.5</v>
      </c>
      <c r="F252" s="14">
        <v>3411754.445654353</v>
      </c>
      <c r="G252" s="15">
        <f>F252*$K$4</f>
        <v>0</v>
      </c>
      <c r="H252" s="14">
        <v>3411.754445654353</v>
      </c>
      <c r="I252" s="9">
        <f>IF(ABS(G252-H252)&lt;0.01,"ok","DIFF")</f>
        <v>0</v>
      </c>
    </row>
    <row r="253" spans="1:9">
      <c r="A253" s="6">
        <v>45658</v>
      </c>
      <c r="B253" s="7" t="s">
        <v>149</v>
      </c>
      <c r="C253" s="7" t="s">
        <v>185</v>
      </c>
      <c r="D253" s="14">
        <v>2328.852183672953</v>
      </c>
      <c r="E253" s="14">
        <v>2333.363525390625</v>
      </c>
      <c r="F253" s="14">
        <v>5434058.741408776</v>
      </c>
      <c r="G253" s="15">
        <f>F253*$K$4</f>
        <v>0</v>
      </c>
      <c r="H253" s="14">
        <v>5434.058741408777</v>
      </c>
      <c r="I253" s="9">
        <f>IF(ABS(G253-H253)&lt;0.01,"ok","DIFF")</f>
        <v>0</v>
      </c>
    </row>
    <row r="254" spans="1:9">
      <c r="A254" s="6">
        <v>45658</v>
      </c>
      <c r="B254" s="7" t="s">
        <v>138</v>
      </c>
      <c r="C254" s="7" t="s">
        <v>185</v>
      </c>
      <c r="D254" s="14">
        <v>1556.280102389248</v>
      </c>
      <c r="E254" s="14">
        <v>2613.270263671875</v>
      </c>
      <c r="F254" s="14">
        <v>4066980.513518043</v>
      </c>
      <c r="G254" s="15">
        <f>F254*$K$4</f>
        <v>0</v>
      </c>
      <c r="H254" s="14">
        <v>4066.980513518043</v>
      </c>
      <c r="I254" s="9">
        <f>IF(ABS(G254-H254)&lt;0.01,"ok","DIFF")</f>
        <v>0</v>
      </c>
    </row>
    <row r="255" spans="1:9">
      <c r="A255" s="6">
        <v>45658</v>
      </c>
      <c r="B255" s="7" t="s">
        <v>154</v>
      </c>
      <c r="C255" s="7" t="s">
        <v>185</v>
      </c>
      <c r="D255" s="14">
        <v>1039.888452786354</v>
      </c>
      <c r="E255" s="14">
        <v>793.9888305664062</v>
      </c>
      <c r="F255" s="14">
        <v>825659.8165473467</v>
      </c>
      <c r="G255" s="15">
        <f>F255*$K$4</f>
        <v>0</v>
      </c>
      <c r="H255" s="14">
        <v>825.6598165473466</v>
      </c>
      <c r="I255" s="9">
        <f>IF(ABS(G255-H255)&lt;0.01,"ok","DIFF")</f>
        <v>0</v>
      </c>
    </row>
    <row r="256" spans="1:9">
      <c r="A256" s="6">
        <v>45658</v>
      </c>
      <c r="B256" s="7" t="s">
        <v>153</v>
      </c>
      <c r="C256" s="7" t="s">
        <v>185</v>
      </c>
      <c r="D256" s="14">
        <v>924.1290986150202</v>
      </c>
      <c r="E256" s="14">
        <v>4587.94677734375</v>
      </c>
      <c r="F256" s="14">
        <v>4239855.119840367</v>
      </c>
      <c r="G256" s="15">
        <f>F256*$K$4</f>
        <v>0</v>
      </c>
      <c r="H256" s="14">
        <v>4239.855119840367</v>
      </c>
      <c r="I256" s="9">
        <f>IF(ABS(G256-H256)&lt;0.01,"ok","DIFF")</f>
        <v>0</v>
      </c>
    </row>
    <row r="257" spans="1:9">
      <c r="A257" s="6">
        <v>45658</v>
      </c>
      <c r="B257" s="7" t="s">
        <v>147</v>
      </c>
      <c r="C257" s="7" t="s">
        <v>185</v>
      </c>
      <c r="D257" s="14">
        <v>469.8680307977914</v>
      </c>
      <c r="E257" s="14">
        <v>7053.54833984375</v>
      </c>
      <c r="F257" s="14">
        <v>3314236.868579413</v>
      </c>
      <c r="G257" s="15">
        <f>F257*$K$4</f>
        <v>0</v>
      </c>
      <c r="H257" s="14">
        <v>3314.236868579414</v>
      </c>
      <c r="I257" s="9">
        <f>IF(ABS(G257-H257)&lt;0.01,"ok","DIFF")</f>
        <v>0</v>
      </c>
    </row>
    <row r="258" spans="1:9">
      <c r="A258" s="6">
        <v>45658</v>
      </c>
      <c r="B258" s="7" t="s">
        <v>144</v>
      </c>
      <c r="C258" s="7" t="s">
        <v>185</v>
      </c>
      <c r="D258" s="14">
        <v>454.2604364442152</v>
      </c>
      <c r="E258" s="14">
        <v>8406.203125</v>
      </c>
      <c r="F258" s="14">
        <v>3818605.500401226</v>
      </c>
      <c r="G258" s="15">
        <f>F258*$K$4</f>
        <v>0</v>
      </c>
      <c r="H258" s="14">
        <v>3818.605500401226</v>
      </c>
      <c r="I258" s="9">
        <f>IF(ABS(G258-H258)&lt;0.01,"ok","DIFF")</f>
        <v>0</v>
      </c>
    </row>
    <row r="259" spans="1:9">
      <c r="A259" s="6">
        <v>45658</v>
      </c>
      <c r="B259" s="7" t="s">
        <v>152</v>
      </c>
      <c r="C259" s="7" t="s">
        <v>185</v>
      </c>
      <c r="D259" s="14">
        <v>71.69304506191042</v>
      </c>
      <c r="E259" s="14">
        <v>3355.925048828125</v>
      </c>
      <c r="F259" s="14">
        <v>240596.4857500287</v>
      </c>
      <c r="G259" s="15">
        <f>F259*$K$4</f>
        <v>0</v>
      </c>
      <c r="H259" s="14">
        <v>240.5964857500287</v>
      </c>
      <c r="I259" s="9">
        <f>IF(ABS(G259-H259)&lt;0.01,"ok","DIFF")</f>
        <v>0</v>
      </c>
    </row>
    <row r="260" spans="1:9">
      <c r="A260" s="6">
        <v>45658</v>
      </c>
      <c r="B260" s="7" t="s">
        <v>87</v>
      </c>
      <c r="C260" s="7" t="s">
        <v>185</v>
      </c>
      <c r="D260" s="14">
        <v>58.92371112026953</v>
      </c>
      <c r="E260" s="14">
        <v>17986.1953125</v>
      </c>
      <c r="F260" s="14">
        <v>1059813.376746496</v>
      </c>
      <c r="G260" s="15">
        <f>F260*$K$4</f>
        <v>0</v>
      </c>
      <c r="H260" s="14">
        <v>1059.813376746496</v>
      </c>
      <c r="I260" s="9">
        <f>IF(ABS(G260-H260)&lt;0.01,"ok","DIFF")</f>
        <v>0</v>
      </c>
    </row>
    <row r="261" spans="1:9">
      <c r="A261" s="6">
        <v>45658</v>
      </c>
      <c r="B261" s="7" t="s">
        <v>148</v>
      </c>
      <c r="C261" s="7" t="s">
        <v>184</v>
      </c>
      <c r="D261" s="14">
        <v>119.3011574866478</v>
      </c>
      <c r="E261" s="14">
        <v>1562.802490234375</v>
      </c>
      <c r="F261" s="14">
        <v>186444.1460079765</v>
      </c>
      <c r="G261" s="15">
        <f>F261*$K$4</f>
        <v>0</v>
      </c>
      <c r="H261" s="14">
        <v>186.4441460079765</v>
      </c>
      <c r="I261" s="9">
        <f>IF(ABS(G261-H261)&lt;0.01,"ok","DIFF")</f>
        <v>0</v>
      </c>
    </row>
    <row r="262" spans="1:9">
      <c r="A262" s="6">
        <v>45658</v>
      </c>
      <c r="B262" s="7" t="s">
        <v>156</v>
      </c>
      <c r="C262" s="7" t="s">
        <v>184</v>
      </c>
      <c r="D262" s="14">
        <v>427.0801503518222</v>
      </c>
      <c r="E262" s="14">
        <v>9354.0615234375</v>
      </c>
      <c r="F262" s="14">
        <v>3994934.001829882</v>
      </c>
      <c r="G262" s="15">
        <f>F262*$K$4</f>
        <v>0</v>
      </c>
      <c r="H262" s="14">
        <v>3994.934001829882</v>
      </c>
      <c r="I262" s="9">
        <f>IF(ABS(G262-H262)&lt;0.01,"ok","DIFF")</f>
        <v>0</v>
      </c>
    </row>
    <row r="263" spans="1:9">
      <c r="A263" s="6">
        <v>45658</v>
      </c>
      <c r="B263" s="7" t="s">
        <v>158</v>
      </c>
      <c r="C263" s="7" t="s">
        <v>184</v>
      </c>
      <c r="D263" s="14">
        <v>1470.629715793859</v>
      </c>
      <c r="E263" s="14">
        <v>2119.199951171875</v>
      </c>
      <c r="F263" s="14">
        <v>3116558.421902254</v>
      </c>
      <c r="G263" s="15">
        <f>F263*$K$4</f>
        <v>0</v>
      </c>
      <c r="H263" s="14">
        <v>3116.558421902254</v>
      </c>
      <c r="I263" s="9">
        <f>IF(ABS(G263-H263)&lt;0.01,"ok","DIFF")</f>
        <v>0</v>
      </c>
    </row>
    <row r="264" spans="1:9">
      <c r="A264" s="6">
        <v>45658</v>
      </c>
      <c r="B264" s="7" t="s">
        <v>155</v>
      </c>
      <c r="C264" s="7" t="s">
        <v>184</v>
      </c>
      <c r="D264" s="14">
        <v>2549.527053568012</v>
      </c>
      <c r="E264" s="14">
        <v>1729.553466796875</v>
      </c>
      <c r="F264" s="14">
        <v>4409543.354190978</v>
      </c>
      <c r="G264" s="15">
        <f>F264*$K$4</f>
        <v>0</v>
      </c>
      <c r="H264" s="14">
        <v>4409.543354190978</v>
      </c>
      <c r="I264" s="9">
        <f>IF(ABS(G264-H264)&lt;0.01,"ok","DIFF")</f>
        <v>0</v>
      </c>
    </row>
    <row r="265" spans="1:9">
      <c r="A265" s="6">
        <v>45658</v>
      </c>
      <c r="B265" s="7" t="s">
        <v>111</v>
      </c>
      <c r="C265" s="7" t="s">
        <v>184</v>
      </c>
      <c r="D265" s="14">
        <v>3781.725733637076</v>
      </c>
      <c r="E265" s="14">
        <v>1855.5166015625</v>
      </c>
      <c r="F265" s="14">
        <v>7017054.881319719</v>
      </c>
      <c r="G265" s="15">
        <f>F265*$K$4</f>
        <v>0</v>
      </c>
      <c r="H265" s="14">
        <v>7017.054881319719</v>
      </c>
      <c r="I265" s="9">
        <f>IF(ABS(G265-H265)&lt;0.01,"ok","DIFF")</f>
        <v>0</v>
      </c>
    </row>
    <row r="266" spans="1:9">
      <c r="A266" s="6">
        <v>45658</v>
      </c>
      <c r="B266" s="7" t="s">
        <v>157</v>
      </c>
      <c r="C266" s="7" t="s">
        <v>184</v>
      </c>
      <c r="D266" s="14">
        <v>4440.065178007727</v>
      </c>
      <c r="E266" s="14">
        <v>773.5862426757812</v>
      </c>
      <c r="F266" s="14">
        <v>3434773.338290571</v>
      </c>
      <c r="G266" s="15">
        <f>F266*$K$4</f>
        <v>0</v>
      </c>
      <c r="H266" s="14">
        <v>3434.773338290571</v>
      </c>
      <c r="I266" s="9">
        <f>IF(ABS(G266-H266)&lt;0.01,"ok","DIFF")</f>
        <v>0</v>
      </c>
    </row>
    <row r="267" spans="1:9">
      <c r="A267" s="6">
        <v>45658</v>
      </c>
      <c r="B267" s="7" t="s">
        <v>136</v>
      </c>
      <c r="C267" s="7" t="s">
        <v>184</v>
      </c>
      <c r="D267" s="14">
        <v>4842.707010809809</v>
      </c>
      <c r="E267" s="14">
        <v>867.1766357421875</v>
      </c>
      <c r="F267" s="14">
        <v>4199482.373519155</v>
      </c>
      <c r="G267" s="15">
        <f>F267*$K$4</f>
        <v>0</v>
      </c>
      <c r="H267" s="14">
        <v>4199.482373519155</v>
      </c>
      <c r="I267" s="9">
        <f>IF(ABS(G267-H267)&lt;0.01,"ok","DIFF")</f>
        <v>0</v>
      </c>
    </row>
    <row r="268" spans="1:9">
      <c r="A268" s="6">
        <v>45748</v>
      </c>
      <c r="B268" s="7" t="s">
        <v>136</v>
      </c>
      <c r="C268" s="7" t="s">
        <v>185</v>
      </c>
      <c r="D268" s="14">
        <v>4842.707010809809</v>
      </c>
      <c r="E268" s="14">
        <v>799.8255004882812</v>
      </c>
      <c r="F268" s="14">
        <v>3873320.558639063</v>
      </c>
      <c r="G268" s="15">
        <f>F268*$K$4</f>
        <v>0</v>
      </c>
      <c r="H268" s="14">
        <v>3873.320558639064</v>
      </c>
      <c r="I268" s="9">
        <f>IF(ABS(G268-H268)&lt;0.01,"ok","DIFF")</f>
        <v>0</v>
      </c>
    </row>
    <row r="269" spans="1:9">
      <c r="A269" s="6">
        <v>45748</v>
      </c>
      <c r="B269" s="7" t="s">
        <v>154</v>
      </c>
      <c r="C269" s="7" t="s">
        <v>185</v>
      </c>
      <c r="D269" s="14">
        <v>4661.431678275744</v>
      </c>
      <c r="E269" s="14">
        <v>608.98583984375</v>
      </c>
      <c r="F269" s="14">
        <v>2838745.885469015</v>
      </c>
      <c r="G269" s="15">
        <f>F269*$K$4</f>
        <v>0</v>
      </c>
      <c r="H269" s="14">
        <v>2838.745885469015</v>
      </c>
      <c r="I269" s="9">
        <f>IF(ABS(G269-H269)&lt;0.01,"ok","DIFF")</f>
        <v>0</v>
      </c>
    </row>
    <row r="270" spans="1:9">
      <c r="A270" s="6">
        <v>45748</v>
      </c>
      <c r="B270" s="7" t="s">
        <v>157</v>
      </c>
      <c r="C270" s="7" t="s">
        <v>185</v>
      </c>
      <c r="D270" s="14">
        <v>4440.065178007727</v>
      </c>
      <c r="E270" s="14">
        <v>456.7135314941406</v>
      </c>
      <c r="F270" s="14">
        <v>2027837.847512069</v>
      </c>
      <c r="G270" s="15">
        <f>F270*$K$4</f>
        <v>0</v>
      </c>
      <c r="H270" s="14">
        <v>2027.837847512069</v>
      </c>
      <c r="I270" s="9">
        <f>IF(ABS(G270-H270)&lt;0.01,"ok","DIFF")</f>
        <v>0</v>
      </c>
    </row>
    <row r="271" spans="1:9">
      <c r="A271" s="6">
        <v>45748</v>
      </c>
      <c r="B271" s="7" t="s">
        <v>111</v>
      </c>
      <c r="C271" s="7" t="s">
        <v>185</v>
      </c>
      <c r="D271" s="14">
        <v>3781.725733637076</v>
      </c>
      <c r="E271" s="14">
        <v>1677.456420898438</v>
      </c>
      <c r="F271" s="14">
        <v>6343680.113966367</v>
      </c>
      <c r="G271" s="15">
        <f>F271*$K$4</f>
        <v>0</v>
      </c>
      <c r="H271" s="14">
        <v>6343.680113966368</v>
      </c>
      <c r="I271" s="9">
        <f>IF(ABS(G271-H271)&lt;0.01,"ok","DIFF")</f>
        <v>0</v>
      </c>
    </row>
    <row r="272" spans="1:9">
      <c r="A272" s="6">
        <v>45748</v>
      </c>
      <c r="B272" s="7" t="s">
        <v>155</v>
      </c>
      <c r="C272" s="7" t="s">
        <v>185</v>
      </c>
      <c r="D272" s="14">
        <v>2549.527053568012</v>
      </c>
      <c r="E272" s="14">
        <v>1348.098388671875</v>
      </c>
      <c r="F272" s="14">
        <v>3437013.312790391</v>
      </c>
      <c r="G272" s="15">
        <f>F272*$K$4</f>
        <v>0</v>
      </c>
      <c r="H272" s="14">
        <v>3437.013312790391</v>
      </c>
      <c r="I272" s="9">
        <f>IF(ABS(G272-H272)&lt;0.01,"ok","DIFF")</f>
        <v>0</v>
      </c>
    </row>
    <row r="273" spans="1:9">
      <c r="A273" s="6">
        <v>45748</v>
      </c>
      <c r="B273" s="7" t="s">
        <v>152</v>
      </c>
      <c r="C273" s="7" t="s">
        <v>185</v>
      </c>
      <c r="D273" s="14">
        <v>1679.900640169548</v>
      </c>
      <c r="E273" s="14">
        <v>3149.9609375</v>
      </c>
      <c r="F273" s="14">
        <v>5291621.39541532</v>
      </c>
      <c r="G273" s="15">
        <f>F273*$K$4</f>
        <v>0</v>
      </c>
      <c r="H273" s="14">
        <v>5291.62139541532</v>
      </c>
      <c r="I273" s="9">
        <f>IF(ABS(G273-H273)&lt;0.01,"ok","DIFF")</f>
        <v>0</v>
      </c>
    </row>
    <row r="274" spans="1:9">
      <c r="A274" s="6">
        <v>45748</v>
      </c>
      <c r="B274" s="7" t="s">
        <v>158</v>
      </c>
      <c r="C274" s="7" t="s">
        <v>185</v>
      </c>
      <c r="D274" s="14">
        <v>1470.629715793859</v>
      </c>
      <c r="E274" s="14">
        <v>1514.599975585938</v>
      </c>
      <c r="F274" s="14">
        <v>2227415.731637333</v>
      </c>
      <c r="G274" s="15">
        <f>F274*$K$4</f>
        <v>0</v>
      </c>
      <c r="H274" s="14">
        <v>2227.415731637333</v>
      </c>
      <c r="I274" s="9">
        <f>IF(ABS(G274-H274)&lt;0.01,"ok","DIFF")</f>
        <v>0</v>
      </c>
    </row>
    <row r="275" spans="1:9">
      <c r="A275" s="6">
        <v>45748</v>
      </c>
      <c r="B275" s="7" t="s">
        <v>148</v>
      </c>
      <c r="C275" s="7" t="s">
        <v>185</v>
      </c>
      <c r="D275" s="14">
        <v>1031.470045126377</v>
      </c>
      <c r="E275" s="14">
        <v>1688.604370117188</v>
      </c>
      <c r="F275" s="14">
        <v>1741744.825845372</v>
      </c>
      <c r="G275" s="15">
        <f>F275*$K$4</f>
        <v>0</v>
      </c>
      <c r="H275" s="14">
        <v>1741.744825845372</v>
      </c>
      <c r="I275" s="9">
        <f>IF(ABS(G275-H275)&lt;0.01,"ok","DIFF")</f>
        <v>0</v>
      </c>
    </row>
    <row r="276" spans="1:9">
      <c r="A276" s="6">
        <v>45748</v>
      </c>
      <c r="B276" s="7" t="s">
        <v>156</v>
      </c>
      <c r="C276" s="7" t="s">
        <v>185</v>
      </c>
      <c r="D276" s="14">
        <v>427.0801503518222</v>
      </c>
      <c r="E276" s="14">
        <v>7732.82861328125</v>
      </c>
      <c r="F276" s="14">
        <v>3302537.606805029</v>
      </c>
      <c r="G276" s="15">
        <f>F276*$K$4</f>
        <v>0</v>
      </c>
      <c r="H276" s="14">
        <v>3302.537606805029</v>
      </c>
      <c r="I276" s="9">
        <f>IF(ABS(G276-H276)&lt;0.01,"ok","DIFF")</f>
        <v>0</v>
      </c>
    </row>
    <row r="277" spans="1:9">
      <c r="A277" s="6">
        <v>45748</v>
      </c>
      <c r="B277" s="7" t="s">
        <v>87</v>
      </c>
      <c r="C277" s="7" t="s">
        <v>185</v>
      </c>
      <c r="D277" s="14">
        <v>191.2547632958767</v>
      </c>
      <c r="E277" s="14">
        <v>12918.1513671875</v>
      </c>
      <c r="F277" s="14">
        <v>2470657.981951751</v>
      </c>
      <c r="G277" s="15">
        <f>F277*$K$4</f>
        <v>0</v>
      </c>
      <c r="H277" s="14">
        <v>2470.657981951751</v>
      </c>
      <c r="I277" s="9">
        <f>IF(ABS(G277-H277)&lt;0.01,"ok","DIFF")</f>
        <v>0</v>
      </c>
    </row>
    <row r="278" spans="1:9">
      <c r="A278" s="6">
        <v>45748</v>
      </c>
      <c r="B278" s="7" t="s">
        <v>113</v>
      </c>
      <c r="C278" s="7" t="s">
        <v>184</v>
      </c>
      <c r="D278" s="14">
        <v>99.03778052728917</v>
      </c>
      <c r="E278" s="14">
        <v>41014.9453125</v>
      </c>
      <c r="F278" s="14">
        <v>4062029.152198143</v>
      </c>
      <c r="G278" s="15">
        <f>F278*$K$4</f>
        <v>0</v>
      </c>
      <c r="H278" s="14">
        <v>4062.029152198143</v>
      </c>
      <c r="I278" s="9">
        <f>IF(ABS(G278-H278)&lt;0.01,"ok","DIFF")</f>
        <v>0</v>
      </c>
    </row>
    <row r="279" spans="1:9">
      <c r="A279" s="6">
        <v>45748</v>
      </c>
      <c r="B279" s="7" t="s">
        <v>110</v>
      </c>
      <c r="C279" s="7" t="s">
        <v>184</v>
      </c>
      <c r="D279" s="14">
        <v>270.4359134910949</v>
      </c>
      <c r="E279" s="14">
        <v>11683.712890625</v>
      </c>
      <c r="F279" s="14">
        <v>3159695.568543853</v>
      </c>
      <c r="G279" s="15">
        <f>F279*$K$4</f>
        <v>0</v>
      </c>
      <c r="H279" s="14">
        <v>3159.695568543853</v>
      </c>
      <c r="I279" s="9">
        <f>IF(ABS(G279-H279)&lt;0.01,"ok","DIFF")</f>
        <v>0</v>
      </c>
    </row>
    <row r="280" spans="1:9">
      <c r="A280" s="6">
        <v>45748</v>
      </c>
      <c r="B280" s="7" t="s">
        <v>74</v>
      </c>
      <c r="C280" s="7" t="s">
        <v>184</v>
      </c>
      <c r="D280" s="14">
        <v>701.3160933682303</v>
      </c>
      <c r="E280" s="14">
        <v>5501.8564453125</v>
      </c>
      <c r="F280" s="14">
        <v>3858540.468499381</v>
      </c>
      <c r="G280" s="15">
        <f>F280*$K$4</f>
        <v>0</v>
      </c>
      <c r="H280" s="14">
        <v>3858.540468499381</v>
      </c>
      <c r="I280" s="9">
        <f>IF(ABS(G280-H280)&lt;0.01,"ok","DIFF")</f>
        <v>0</v>
      </c>
    </row>
    <row r="281" spans="1:9">
      <c r="A281" s="6">
        <v>45748</v>
      </c>
      <c r="B281" s="7" t="s">
        <v>160</v>
      </c>
      <c r="C281" s="7" t="s">
        <v>184</v>
      </c>
      <c r="D281" s="14">
        <v>765.2911574151589</v>
      </c>
      <c r="E281" s="14">
        <v>5184.96875</v>
      </c>
      <c r="F281" s="14">
        <v>3968010.735848929</v>
      </c>
      <c r="G281" s="15">
        <f>F281*$K$4</f>
        <v>0</v>
      </c>
      <c r="H281" s="14">
        <v>3968.010735848929</v>
      </c>
      <c r="I281" s="9">
        <f>IF(ABS(G281-H281)&lt;0.01,"ok","DIFF")</f>
        <v>0</v>
      </c>
    </row>
    <row r="282" spans="1:9">
      <c r="A282" s="6">
        <v>45748</v>
      </c>
      <c r="B282" s="7" t="s">
        <v>161</v>
      </c>
      <c r="C282" s="7" t="s">
        <v>184</v>
      </c>
      <c r="D282" s="14">
        <v>1638.068786259623</v>
      </c>
      <c r="E282" s="14">
        <v>2291.150634765625</v>
      </c>
      <c r="F282" s="14">
        <v>3753062.339428492</v>
      </c>
      <c r="G282" s="15">
        <f>F282*$K$4</f>
        <v>0</v>
      </c>
      <c r="H282" s="14">
        <v>3753.062339428493</v>
      </c>
      <c r="I282" s="9">
        <f>IF(ABS(G282-H282)&lt;0.01,"ok","DIFF")</f>
        <v>0</v>
      </c>
    </row>
    <row r="283" spans="1:9">
      <c r="A283" s="6">
        <v>45748</v>
      </c>
      <c r="B283" s="7" t="s">
        <v>162</v>
      </c>
      <c r="C283" s="7" t="s">
        <v>184</v>
      </c>
      <c r="D283" s="14">
        <v>1745.781868431394</v>
      </c>
      <c r="E283" s="14">
        <v>2031.304077148438</v>
      </c>
      <c r="F283" s="14">
        <v>3546213.827156507</v>
      </c>
      <c r="G283" s="15">
        <f>F283*$K$4</f>
        <v>0</v>
      </c>
      <c r="H283" s="14">
        <v>3546.213827156507</v>
      </c>
      <c r="I283" s="9">
        <f>IF(ABS(G283-H283)&lt;0.01,"ok","DIFF")</f>
        <v>0</v>
      </c>
    </row>
    <row r="284" spans="1:9">
      <c r="A284" s="6">
        <v>45748</v>
      </c>
      <c r="B284" s="7" t="s">
        <v>163</v>
      </c>
      <c r="C284" s="7" t="s">
        <v>184</v>
      </c>
      <c r="D284" s="14">
        <v>4652.886038363027</v>
      </c>
      <c r="E284" s="14">
        <v>687.1076049804688</v>
      </c>
      <c r="F284" s="14">
        <v>3197033.382066681</v>
      </c>
      <c r="G284" s="15">
        <f>F284*$K$4</f>
        <v>0</v>
      </c>
      <c r="H284" s="14">
        <v>3197.033382066681</v>
      </c>
      <c r="I284" s="9">
        <f>IF(ABS(G284-H284)&lt;0.01,"ok","DIFF")</f>
        <v>0</v>
      </c>
    </row>
    <row r="285" spans="1:9">
      <c r="A285" s="6">
        <v>45748</v>
      </c>
      <c r="B285" s="7" t="s">
        <v>81</v>
      </c>
      <c r="C285" s="7" t="s">
        <v>184</v>
      </c>
      <c r="D285" s="14">
        <v>4731.985552425567</v>
      </c>
      <c r="E285" s="14">
        <v>596.9959716796875</v>
      </c>
      <c r="F285" s="14">
        <v>2824976.312844544</v>
      </c>
      <c r="G285" s="15">
        <f>F285*$K$4</f>
        <v>0</v>
      </c>
      <c r="H285" s="14">
        <v>2824.976312844544</v>
      </c>
      <c r="I285" s="9">
        <f>IF(ABS(G285-H285)&lt;0.01,"ok","DIFF")</f>
        <v>0</v>
      </c>
    </row>
    <row r="286" spans="1:9">
      <c r="A286" s="6">
        <v>45748</v>
      </c>
      <c r="B286" s="7" t="s">
        <v>159</v>
      </c>
      <c r="C286" s="7" t="s">
        <v>184</v>
      </c>
      <c r="D286" s="14">
        <v>5965.37417561533</v>
      </c>
      <c r="E286" s="14">
        <v>857.9464111328125</v>
      </c>
      <c r="F286" s="14">
        <v>5117971.365033532</v>
      </c>
      <c r="G286" s="15">
        <f>F286*$K$4</f>
        <v>0</v>
      </c>
      <c r="H286" s="14">
        <v>5117.971365033532</v>
      </c>
      <c r="I286" s="9">
        <f>IF(ABS(G286-H286)&lt;0.01,"ok","DIFF")</f>
        <v>0</v>
      </c>
    </row>
    <row r="287" spans="1:9">
      <c r="A287" s="6">
        <v>45839</v>
      </c>
      <c r="B287" s="7" t="s">
        <v>81</v>
      </c>
      <c r="C287" s="7" t="s">
        <v>185</v>
      </c>
      <c r="D287" s="14">
        <v>4731.985552425567</v>
      </c>
      <c r="E287" s="14">
        <v>744.6934814453125</v>
      </c>
      <c r="F287" s="14">
        <v>3523878.795184716</v>
      </c>
      <c r="G287" s="15">
        <f>F287*$K$4</f>
        <v>0</v>
      </c>
      <c r="H287" s="14">
        <v>3523.878795184716</v>
      </c>
      <c r="I287" s="9">
        <f>IF(ABS(G287-H287)&lt;0.01,"ok","DIFF")</f>
        <v>0</v>
      </c>
    </row>
    <row r="288" spans="1:9">
      <c r="A288" s="6">
        <v>45839</v>
      </c>
      <c r="B288" s="7" t="s">
        <v>161</v>
      </c>
      <c r="C288" s="7" t="s">
        <v>185</v>
      </c>
      <c r="D288" s="14">
        <v>1638.068786259623</v>
      </c>
      <c r="E288" s="14">
        <v>2619.748779296875</v>
      </c>
      <c r="F288" s="14">
        <v>4291328.703207961</v>
      </c>
      <c r="G288" s="15">
        <f>F288*$K$4</f>
        <v>0</v>
      </c>
      <c r="H288" s="14">
        <v>4291.328703207962</v>
      </c>
      <c r="I288" s="9">
        <f>IF(ABS(G288-H288)&lt;0.01,"ok","DIFF")</f>
        <v>0</v>
      </c>
    </row>
    <row r="289" spans="1:9">
      <c r="A289" s="6">
        <v>45839</v>
      </c>
      <c r="B289" s="7" t="s">
        <v>160</v>
      </c>
      <c r="C289" s="7" t="s">
        <v>185</v>
      </c>
      <c r="D289" s="14">
        <v>765.2911574151589</v>
      </c>
      <c r="E289" s="14">
        <v>5583.865234375</v>
      </c>
      <c r="F289" s="14">
        <v>4273282.688065111</v>
      </c>
      <c r="G289" s="15">
        <f>F289*$K$4</f>
        <v>0</v>
      </c>
      <c r="H289" s="14">
        <v>4273.282688065111</v>
      </c>
      <c r="I289" s="9">
        <f>IF(ABS(G289-H289)&lt;0.01,"ok","DIFF")</f>
        <v>0</v>
      </c>
    </row>
    <row r="290" spans="1:9">
      <c r="A290" s="6">
        <v>45839</v>
      </c>
      <c r="B290" s="7" t="s">
        <v>113</v>
      </c>
      <c r="C290" s="7" t="s">
        <v>185</v>
      </c>
      <c r="D290" s="14">
        <v>99.03778052728917</v>
      </c>
      <c r="E290" s="14">
        <v>47257.359375</v>
      </c>
      <c r="F290" s="14">
        <v>4680263.986080482</v>
      </c>
      <c r="G290" s="15">
        <f>F290*$K$4</f>
        <v>0</v>
      </c>
      <c r="H290" s="14">
        <v>4680.263986080482</v>
      </c>
      <c r="I290" s="9">
        <f>IF(ABS(G290-H290)&lt;0.01,"ok","DIFF")</f>
        <v>0</v>
      </c>
    </row>
    <row r="291" spans="1:9">
      <c r="A291" s="6">
        <v>45839</v>
      </c>
      <c r="B291" s="7" t="s">
        <v>74</v>
      </c>
      <c r="C291" s="7" t="s">
        <v>185</v>
      </c>
      <c r="D291" s="14">
        <v>68.33297994086013</v>
      </c>
      <c r="E291" s="14">
        <v>6797.390625</v>
      </c>
      <c r="F291" s="14">
        <v>464485.9572283157</v>
      </c>
      <c r="G291" s="15">
        <f>F291*$K$4</f>
        <v>0</v>
      </c>
      <c r="H291" s="14">
        <v>464.4859572283157</v>
      </c>
      <c r="I291" s="9">
        <f>IF(ABS(G291-H291)&lt;0.01,"ok","DIFF")</f>
        <v>0</v>
      </c>
    </row>
    <row r="292" spans="1:9">
      <c r="A292" s="6">
        <v>45839</v>
      </c>
      <c r="B292" s="7" t="s">
        <v>162</v>
      </c>
      <c r="C292" s="7" t="s">
        <v>185</v>
      </c>
      <c r="D292" s="14">
        <v>44.19016923089202</v>
      </c>
      <c r="E292" s="14">
        <v>2305.459228515625</v>
      </c>
      <c r="F292" s="14">
        <v>101878.6334630272</v>
      </c>
      <c r="G292" s="15">
        <f>F292*$K$4</f>
        <v>0</v>
      </c>
      <c r="H292" s="14">
        <v>101.8786334630272</v>
      </c>
      <c r="I292" s="9">
        <f>IF(ABS(G292-H292)&lt;0.01,"ok","DIFF")</f>
        <v>0</v>
      </c>
    </row>
    <row r="293" spans="1:9">
      <c r="A293" s="6">
        <v>45839</v>
      </c>
      <c r="B293" s="7" t="s">
        <v>110</v>
      </c>
      <c r="C293" s="7" t="s">
        <v>185</v>
      </c>
      <c r="D293" s="14">
        <v>38.68288423316946</v>
      </c>
      <c r="E293" s="14">
        <v>14095.2666015625</v>
      </c>
      <c r="F293" s="14">
        <v>545245.5661839021</v>
      </c>
      <c r="G293" s="15">
        <f>F293*$K$4</f>
        <v>0</v>
      </c>
      <c r="H293" s="14">
        <v>545.2455661839022</v>
      </c>
      <c r="I293" s="9">
        <f>IF(ABS(G293-H293)&lt;0.01,"ok","DIFF")</f>
        <v>0</v>
      </c>
    </row>
    <row r="294" spans="1:9">
      <c r="A294" s="6">
        <v>45839</v>
      </c>
      <c r="B294" s="7" t="s">
        <v>163</v>
      </c>
      <c r="C294" s="7" t="s">
        <v>184</v>
      </c>
      <c r="D294" s="14">
        <v>117.0112624680569</v>
      </c>
      <c r="E294" s="14">
        <v>773.0148315429688</v>
      </c>
      <c r="F294" s="14">
        <v>90451.44134537509</v>
      </c>
      <c r="G294" s="15">
        <f>F294*$K$4</f>
        <v>0</v>
      </c>
      <c r="H294" s="14">
        <v>90.45144134537509</v>
      </c>
      <c r="I294" s="9">
        <f>IF(ABS(G294-H294)&lt;0.01,"ok","DIFF")</f>
        <v>0</v>
      </c>
    </row>
    <row r="295" spans="1:9">
      <c r="A295" s="6">
        <v>45839</v>
      </c>
      <c r="B295" s="7" t="s">
        <v>148</v>
      </c>
      <c r="C295" s="7" t="s">
        <v>184</v>
      </c>
      <c r="D295" s="14">
        <v>148.8444842798162</v>
      </c>
      <c r="E295" s="14">
        <v>1977.767333984375</v>
      </c>
      <c r="F295" s="14">
        <v>294379.7588523714</v>
      </c>
      <c r="G295" s="15">
        <f>F295*$K$4</f>
        <v>0</v>
      </c>
      <c r="H295" s="14">
        <v>294.3797588523714</v>
      </c>
      <c r="I295" s="9">
        <f>IF(ABS(G295-H295)&lt;0.01,"ok","DIFF")</f>
        <v>0</v>
      </c>
    </row>
    <row r="296" spans="1:9">
      <c r="A296" s="6">
        <v>45839</v>
      </c>
      <c r="B296" s="7" t="s">
        <v>159</v>
      </c>
      <c r="C296" s="7" t="s">
        <v>184</v>
      </c>
      <c r="D296" s="14">
        <v>452.8428270754403</v>
      </c>
      <c r="E296" s="14">
        <v>987.2244873046875</v>
      </c>
      <c r="F296" s="14">
        <v>447057.5277891568</v>
      </c>
      <c r="G296" s="15">
        <f>F296*$K$4</f>
        <v>0</v>
      </c>
      <c r="H296" s="14">
        <v>447.0575277891568</v>
      </c>
      <c r="I296" s="9">
        <f>IF(ABS(G296-H296)&lt;0.01,"ok","DIFF")</f>
        <v>0</v>
      </c>
    </row>
    <row r="297" spans="1:9">
      <c r="A297" s="6">
        <v>45839</v>
      </c>
      <c r="B297" s="7" t="s">
        <v>166</v>
      </c>
      <c r="C297" s="7" t="s">
        <v>184</v>
      </c>
      <c r="D297" s="14">
        <v>1865.183192907176</v>
      </c>
      <c r="E297" s="14">
        <v>2084.4599609375</v>
      </c>
      <c r="F297" s="14">
        <v>3887899.685428573</v>
      </c>
      <c r="G297" s="15">
        <f>F297*$K$4</f>
        <v>0</v>
      </c>
      <c r="H297" s="14">
        <v>3887.899685428573</v>
      </c>
      <c r="I297" s="9">
        <f>IF(ABS(G297-H297)&lt;0.01,"ok","DIFF")</f>
        <v>0</v>
      </c>
    </row>
    <row r="298" spans="1:9">
      <c r="A298" s="6">
        <v>45839</v>
      </c>
      <c r="B298" s="7" t="s">
        <v>167</v>
      </c>
      <c r="C298" s="7" t="s">
        <v>184</v>
      </c>
      <c r="D298" s="14">
        <v>3304.074062800367</v>
      </c>
      <c r="E298" s="14">
        <v>903.7577514648438</v>
      </c>
      <c r="F298" s="14">
        <v>2986082.545669771</v>
      </c>
      <c r="G298" s="15">
        <f>F298*$K$4</f>
        <v>0</v>
      </c>
      <c r="H298" s="14">
        <v>2986.082545669771</v>
      </c>
      <c r="I298" s="9">
        <f>IF(ABS(G298-H298)&lt;0.01,"ok","DIFF")</f>
        <v>0</v>
      </c>
    </row>
    <row r="299" spans="1:9">
      <c r="A299" s="6">
        <v>45839</v>
      </c>
      <c r="B299" s="7" t="s">
        <v>165</v>
      </c>
      <c r="C299" s="7" t="s">
        <v>184</v>
      </c>
      <c r="D299" s="14">
        <v>5120.938449405709</v>
      </c>
      <c r="E299" s="14">
        <v>928.5469970703125</v>
      </c>
      <c r="F299" s="14">
        <v>4755032.019377573</v>
      </c>
      <c r="G299" s="15">
        <f>F299*$K$4</f>
        <v>0</v>
      </c>
      <c r="H299" s="14">
        <v>4755.032019377573</v>
      </c>
      <c r="I299" s="9">
        <f>IF(ABS(G299-H299)&lt;0.01,"ok","DIFF")</f>
        <v>0</v>
      </c>
    </row>
    <row r="300" spans="1:9">
      <c r="A300" s="6">
        <v>45839</v>
      </c>
      <c r="B300" s="7" t="s">
        <v>164</v>
      </c>
      <c r="C300" s="7" t="s">
        <v>184</v>
      </c>
      <c r="D300" s="14">
        <v>12363.18274537721</v>
      </c>
      <c r="E300" s="14">
        <v>435.4652404785156</v>
      </c>
      <c r="F300" s="14">
        <v>5383736.347295524</v>
      </c>
      <c r="G300" s="15">
        <f>F300*$K$4</f>
        <v>0</v>
      </c>
      <c r="H300" s="14">
        <v>5383.736347295524</v>
      </c>
      <c r="I300" s="9">
        <f>IF(ABS(G300-H300)&lt;0.01,"ok","DIFF")</f>
        <v>0</v>
      </c>
    </row>
    <row r="301" spans="1:9">
      <c r="A301" s="6">
        <v>45931</v>
      </c>
      <c r="B301" s="7" t="s">
        <v>164</v>
      </c>
      <c r="C301" s="7" t="s">
        <v>185</v>
      </c>
      <c r="D301" s="14">
        <v>12363.18274537721</v>
      </c>
      <c r="E301" s="14">
        <v>411.9487915039062</v>
      </c>
      <c r="F301" s="14">
        <v>5092998.19110009</v>
      </c>
      <c r="G301" s="15">
        <f>F301*$K$4</f>
        <v>0</v>
      </c>
      <c r="H301" s="14">
        <v>5092.99819110009</v>
      </c>
      <c r="I301" s="9">
        <f>IF(ABS(G301-H301)&lt;0.01,"ok","DIFF")</f>
        <v>0</v>
      </c>
    </row>
    <row r="302" spans="1:9">
      <c r="A302" s="6">
        <v>45931</v>
      </c>
      <c r="B302" s="7" t="s">
        <v>165</v>
      </c>
      <c r="C302" s="7" t="s">
        <v>185</v>
      </c>
      <c r="D302" s="14">
        <v>5120.938449405709</v>
      </c>
      <c r="E302" s="14">
        <v>872.642822265625</v>
      </c>
      <c r="F302" s="14">
        <v>4468750.181137951</v>
      </c>
      <c r="G302" s="15">
        <f>F302*$K$4</f>
        <v>0</v>
      </c>
      <c r="H302" s="14">
        <v>4468.750181137952</v>
      </c>
      <c r="I302" s="9">
        <f>IF(ABS(G302-H302)&lt;0.01,"ok","DIFF")</f>
        <v>0</v>
      </c>
    </row>
    <row r="303" spans="1:9">
      <c r="A303" s="6">
        <v>45931</v>
      </c>
      <c r="B303" s="7" t="s">
        <v>167</v>
      </c>
      <c r="C303" s="7" t="s">
        <v>185</v>
      </c>
      <c r="D303" s="14">
        <v>3304.074062800367</v>
      </c>
      <c r="E303" s="14">
        <v>852.5192260742188</v>
      </c>
      <c r="F303" s="14">
        <v>2816786.662910469</v>
      </c>
      <c r="G303" s="15">
        <f>F303*$K$4</f>
        <v>0</v>
      </c>
      <c r="H303" s="14">
        <v>2816.786662910469</v>
      </c>
      <c r="I303" s="9">
        <f>IF(ABS(G303-H303)&lt;0.01,"ok","DIFF")</f>
        <v>0</v>
      </c>
    </row>
    <row r="304" spans="1:9">
      <c r="A304" s="6">
        <v>45931</v>
      </c>
      <c r="B304" s="7" t="s">
        <v>166</v>
      </c>
      <c r="C304" s="7" t="s">
        <v>185</v>
      </c>
      <c r="D304" s="14">
        <v>1865.183192907176</v>
      </c>
      <c r="E304" s="14">
        <v>1727.670776367188</v>
      </c>
      <c r="F304" s="14">
        <v>3222422.49495697</v>
      </c>
      <c r="G304" s="15">
        <f>F304*$K$4</f>
        <v>0</v>
      </c>
      <c r="H304" s="14">
        <v>3222.42249495697</v>
      </c>
      <c r="I304" s="9">
        <f>IF(ABS(G304-H304)&lt;0.01,"ok","DIFF")</f>
        <v>0</v>
      </c>
    </row>
    <row r="305" spans="1:9">
      <c r="A305" s="6">
        <v>45931</v>
      </c>
      <c r="B305" s="7" t="s">
        <v>162</v>
      </c>
      <c r="C305" s="7" t="s">
        <v>185</v>
      </c>
      <c r="D305" s="14">
        <v>1701.591699200502</v>
      </c>
      <c r="E305" s="14">
        <v>2239.98095703125</v>
      </c>
      <c r="F305" s="14">
        <v>3811533.00285157</v>
      </c>
      <c r="G305" s="15">
        <f>F305*$K$4</f>
        <v>0</v>
      </c>
      <c r="H305" s="14">
        <v>3811.53300285157</v>
      </c>
      <c r="I305" s="9">
        <f>IF(ABS(G305-H305)&lt;0.01,"ok","DIFF")</f>
        <v>0</v>
      </c>
    </row>
    <row r="306" spans="1:9">
      <c r="A306" s="6">
        <v>45931</v>
      </c>
      <c r="B306" s="7" t="s">
        <v>163</v>
      </c>
      <c r="C306" s="7" t="s">
        <v>185</v>
      </c>
      <c r="D306" s="14">
        <v>1349.599062209039</v>
      </c>
      <c r="E306" s="14">
        <v>988.6012573242188</v>
      </c>
      <c r="F306" s="14">
        <v>1334215.329783443</v>
      </c>
      <c r="G306" s="15">
        <f>F306*$K$4</f>
        <v>0</v>
      </c>
      <c r="H306" s="14">
        <v>1334.215329783443</v>
      </c>
      <c r="I306" s="9">
        <f>IF(ABS(G306-H306)&lt;0.01,"ok","DIFF")</f>
        <v>0</v>
      </c>
    </row>
    <row r="307" spans="1:9">
      <c r="A307" s="6">
        <v>45931</v>
      </c>
      <c r="B307" s="7" t="s">
        <v>74</v>
      </c>
      <c r="C307" s="7" t="s">
        <v>185</v>
      </c>
      <c r="D307" s="14">
        <v>632.9831134273702</v>
      </c>
      <c r="E307" s="14">
        <v>5686.55029296875</v>
      </c>
      <c r="F307" s="14">
        <v>3599490.309104683</v>
      </c>
      <c r="G307" s="15">
        <f>F307*$K$4</f>
        <v>0</v>
      </c>
      <c r="H307" s="14">
        <v>3599.490309104684</v>
      </c>
      <c r="I307" s="9">
        <f>IF(ABS(G307-H307)&lt;0.01,"ok","DIFF")</f>
        <v>0</v>
      </c>
    </row>
    <row r="308" spans="1:9">
      <c r="A308" s="6">
        <v>45931</v>
      </c>
      <c r="B308" s="7" t="s">
        <v>110</v>
      </c>
      <c r="C308" s="7" t="s">
        <v>185</v>
      </c>
      <c r="D308" s="14">
        <v>231.7530292579254</v>
      </c>
      <c r="E308" s="14">
        <v>11848.767578125</v>
      </c>
      <c r="F308" s="14">
        <v>2745987.779203561</v>
      </c>
      <c r="G308" s="15">
        <f>F308*$K$4</f>
        <v>0</v>
      </c>
      <c r="H308" s="14">
        <v>2745.987779203561</v>
      </c>
      <c r="I308" s="9">
        <f>IF(ABS(G308-H308)&lt;0.01,"ok","DIFF")</f>
        <v>0</v>
      </c>
    </row>
    <row r="309" spans="1:9">
      <c r="A309" s="6">
        <v>45931</v>
      </c>
      <c r="B309" s="7" t="s">
        <v>159</v>
      </c>
      <c r="C309" s="7" t="s">
        <v>184</v>
      </c>
      <c r="D309" s="14">
        <v>46.92545088349925</v>
      </c>
      <c r="E309" s="14">
        <v>949.5450439453125</v>
      </c>
      <c r="F309" s="14">
        <v>44557.8293213259</v>
      </c>
      <c r="G309" s="15">
        <f>F309*$K$4</f>
        <v>0</v>
      </c>
      <c r="H309" s="14">
        <v>44.5578293213259</v>
      </c>
      <c r="I309" s="9">
        <f>IF(ABS(G309-H309)&lt;0.01,"ok","DIFF")</f>
        <v>0</v>
      </c>
    </row>
    <row r="310" spans="1:9">
      <c r="A310" s="6">
        <v>45931</v>
      </c>
      <c r="B310" s="7" t="s">
        <v>148</v>
      </c>
      <c r="C310" s="7" t="s">
        <v>184</v>
      </c>
      <c r="D310" s="14">
        <v>49.85808522214211</v>
      </c>
      <c r="E310" s="14">
        <v>1844.387939453125</v>
      </c>
      <c r="F310" s="14">
        <v>91957.65106794499</v>
      </c>
      <c r="G310" s="15">
        <f>F310*$K$4</f>
        <v>0</v>
      </c>
      <c r="H310" s="14">
        <v>91.95765106794499</v>
      </c>
      <c r="I310" s="9">
        <f>IF(ABS(G310-H310)&lt;0.01,"ok","DIFF")</f>
        <v>0</v>
      </c>
    </row>
    <row r="311" spans="1:9">
      <c r="A311" s="6">
        <v>45931</v>
      </c>
      <c r="B311" s="7" t="s">
        <v>168</v>
      </c>
      <c r="C311" s="7" t="s">
        <v>184</v>
      </c>
      <c r="D311" s="14">
        <v>306.9138797317763</v>
      </c>
      <c r="E311" s="14">
        <v>15806.2568359375</v>
      </c>
      <c r="F311" s="14">
        <v>4851159.609554488</v>
      </c>
      <c r="G311" s="15">
        <f>F311*$K$4</f>
        <v>0</v>
      </c>
      <c r="H311" s="14">
        <v>4851.159609554488</v>
      </c>
      <c r="I311" s="9">
        <f>IF(ABS(G311-H311)&lt;0.01,"ok","DIFF")</f>
        <v>0</v>
      </c>
    </row>
    <row r="312" spans="1:9">
      <c r="A312" s="6">
        <v>45931</v>
      </c>
      <c r="B312" s="7" t="s">
        <v>85</v>
      </c>
      <c r="C312" s="7" t="s">
        <v>184</v>
      </c>
      <c r="D312" s="14">
        <v>615.7530343184995</v>
      </c>
      <c r="E312" s="14">
        <v>6281.6201171875</v>
      </c>
      <c r="F312" s="14">
        <v>3867926.647594332</v>
      </c>
      <c r="G312" s="15">
        <f>F312*$K$4</f>
        <v>0</v>
      </c>
      <c r="H312" s="14">
        <v>3867.926647594332</v>
      </c>
      <c r="I312" s="9">
        <f>IF(ABS(G312-H312)&lt;0.01,"ok","DIFF")</f>
        <v>0</v>
      </c>
    </row>
    <row r="313" spans="1:9">
      <c r="A313" s="6">
        <v>45931</v>
      </c>
      <c r="B313" s="7" t="s">
        <v>160</v>
      </c>
      <c r="C313" s="7" t="s">
        <v>184</v>
      </c>
      <c r="D313" s="14">
        <v>624.0866134458963</v>
      </c>
      <c r="E313" s="14">
        <v>6948.73388671875</v>
      </c>
      <c r="F313" s="14">
        <v>4336611.799099045</v>
      </c>
      <c r="G313" s="15">
        <f>F313*$K$4</f>
        <v>0</v>
      </c>
      <c r="H313" s="14">
        <v>4336.611799099045</v>
      </c>
      <c r="I313" s="9">
        <f>IF(ABS(G313-H313)&lt;0.01,"ok","DIFF")</f>
        <v>0</v>
      </c>
    </row>
    <row r="314" spans="1:9">
      <c r="A314" s="6">
        <v>45931</v>
      </c>
      <c r="B314" s="7" t="s">
        <v>161</v>
      </c>
      <c r="C314" s="7" t="s">
        <v>184</v>
      </c>
      <c r="D314" s="14">
        <v>1115.005755910797</v>
      </c>
      <c r="E314" s="14">
        <v>3118.134765625</v>
      </c>
      <c r="F314" s="14">
        <v>3476738.211377439</v>
      </c>
      <c r="G314" s="15">
        <f>F314*$K$4</f>
        <v>0</v>
      </c>
      <c r="H314" s="14">
        <v>3476.738211377439</v>
      </c>
      <c r="I314" s="9">
        <f>IF(ABS(G314-H314)&lt;0.01,"ok","DIFF")</f>
        <v>0</v>
      </c>
    </row>
    <row r="315" spans="1:9">
      <c r="A315" s="6">
        <v>45931</v>
      </c>
      <c r="B315" s="7" t="s">
        <v>170</v>
      </c>
      <c r="C315" s="7" t="s">
        <v>184</v>
      </c>
      <c r="D315" s="14">
        <v>4786.308076672222</v>
      </c>
      <c r="E315" s="14">
        <v>721.6763305664062</v>
      </c>
      <c r="F315" s="14">
        <v>3454165.249733163</v>
      </c>
      <c r="G315" s="15">
        <f>F315*$K$4</f>
        <v>0</v>
      </c>
      <c r="H315" s="14">
        <v>3454.165249733163</v>
      </c>
      <c r="I315" s="9">
        <f>IF(ABS(G315-H315)&lt;0.01,"ok","DIFF")</f>
        <v>0</v>
      </c>
    </row>
    <row r="316" spans="1:9">
      <c r="A316" s="6">
        <v>45931</v>
      </c>
      <c r="B316" s="7" t="s">
        <v>169</v>
      </c>
      <c r="C316" s="7" t="s">
        <v>184</v>
      </c>
      <c r="D316" s="14">
        <v>5196.629937098405</v>
      </c>
      <c r="E316" s="14">
        <v>687.9000244140625</v>
      </c>
      <c r="F316" s="14">
        <v>3574761.860600841</v>
      </c>
      <c r="G316" s="15">
        <f>F316*$K$4</f>
        <v>0</v>
      </c>
      <c r="H316" s="14">
        <v>3574.761860600841</v>
      </c>
      <c r="I316" s="9">
        <f>IF(ABS(G316-H316)&lt;0.01,"ok","DIFF")</f>
        <v>0</v>
      </c>
    </row>
    <row r="317" spans="1:9">
      <c r="A317" s="6">
        <v>45931</v>
      </c>
      <c r="B317" s="7" t="s">
        <v>171</v>
      </c>
      <c r="C317" s="7" t="s">
        <v>184</v>
      </c>
      <c r="D317" s="14">
        <v>5317.913511321825</v>
      </c>
      <c r="E317" s="14">
        <v>628.0987548828125</v>
      </c>
      <c r="F317" s="14">
        <v>3340174.855035724</v>
      </c>
      <c r="G317" s="15">
        <f>F317*$K$4</f>
        <v>0</v>
      </c>
      <c r="H317" s="14">
        <v>3340.174855035724</v>
      </c>
      <c r="I317" s="9">
        <f>IF(ABS(G317-H317)&lt;0.01,"ok","DIFF")</f>
        <v>0</v>
      </c>
    </row>
    <row r="318" spans="1:9">
      <c r="B318" s="3" t="s">
        <v>186</v>
      </c>
      <c r="F318" s="16">
        <f>SUM(F6:F317)</f>
        <v>0</v>
      </c>
      <c r="G318" s="16">
        <f>SUM(G6:G317)</f>
        <v>0</v>
      </c>
      <c r="H318" s="16">
        <f>SUM(H6:H317)</f>
        <v>0</v>
      </c>
    </row>
    <row r="320" spans="1:9">
      <c r="B320" s="3" t="s">
        <v>187</v>
      </c>
      <c r="C320" s="9">
        <f>COUNTA(B6:B317)</f>
        <v>0</v>
      </c>
    </row>
    <row r="321" spans="2:3">
      <c r="B321" s="3" t="s">
        <v>188</v>
      </c>
      <c r="C321" s="9">
        <f>COUNTIF(C6:C317,"BUY")</f>
        <v>0</v>
      </c>
    </row>
    <row r="322" spans="2:3">
      <c r="B322" s="3" t="s">
        <v>189</v>
      </c>
      <c r="C322" s="9">
        <f>COUNTIF(C6:C317,"SELL")</f>
        <v>0</v>
      </c>
    </row>
    <row r="323" spans="2:3">
      <c r="B323" s="3" t="s">
        <v>190</v>
      </c>
      <c r="C323" s="9">
        <f>SUMPRODUCT((B6:B317&lt;&gt;"")/COUNTIF(B6:B317,B6:B317&amp;""))</f>
        <v>0</v>
      </c>
    </row>
    <row r="324" spans="2:3">
      <c r="B324" s="3" t="s">
        <v>191</v>
      </c>
      <c r="C324" s="17">
        <f>G318/NAV!$B$3</f>
        <v>0</v>
      </c>
    </row>
    <row r="326" spans="2:3">
      <c r="B326" s="2" t="s">
        <v>192</v>
      </c>
    </row>
  </sheetData>
  <mergeCells count="2">
    <mergeCell ref="A1:J1"/>
    <mergeCell ref="A2:J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241"/>
  <sheetViews>
    <sheetView workbookViewId="0">
      <pane ySplit="4" topLeftCell="A5" activePane="bottomLeft" state="frozen"/>
      <selection pane="bottomLeft"/>
    </sheetView>
  </sheetViews>
  <sheetFormatPr defaultRowHeight="15"/>
  <cols>
    <col min="1" max="1" width="12.7109375" customWidth="1"/>
    <col min="2" max="10" width="15.7109375" customWidth="1"/>
    <col min="12" max="12" width="34.7109375" customWidth="1"/>
    <col min="13" max="13" width="18.7109375" customWidth="1"/>
    <col min="14" max="14" width="62.7109375" customWidth="1"/>
  </cols>
  <sheetData>
    <row r="1" spans="1:14" ht="22" customHeight="1">
      <c r="A1" s="1" t="s">
        <v>193</v>
      </c>
      <c r="B1" s="1"/>
      <c r="C1" s="1"/>
      <c r="D1" s="1"/>
      <c r="E1" s="1"/>
      <c r="F1" s="1"/>
      <c r="G1" s="1"/>
      <c r="H1" s="1"/>
      <c r="I1" s="1"/>
      <c r="J1" s="1"/>
      <c r="L1" s="1" t="s">
        <v>204</v>
      </c>
    </row>
    <row r="2" spans="1:14" ht="26" customHeight="1">
      <c r="A2" s="2" t="s">
        <v>194</v>
      </c>
      <c r="B2" s="2"/>
      <c r="C2" s="2"/>
      <c r="D2" s="2"/>
      <c r="E2" s="2"/>
      <c r="F2" s="2"/>
      <c r="G2" s="2"/>
      <c r="H2" s="2"/>
      <c r="I2" s="2"/>
      <c r="J2" s="2"/>
      <c r="L2" s="3" t="s">
        <v>205</v>
      </c>
      <c r="M2" s="10">
        <f>B1241</f>
        <v>0</v>
      </c>
      <c r="N2" s="2" t="s">
        <v>206</v>
      </c>
    </row>
    <row r="3" spans="1:14" ht="26" customHeight="1">
      <c r="A3" s="3" t="s">
        <v>195</v>
      </c>
      <c r="B3" s="18">
        <v>10000000</v>
      </c>
      <c r="C3" s="2"/>
      <c r="D3" s="2"/>
      <c r="E3" s="2"/>
      <c r="F3" s="2"/>
      <c r="G3" s="2"/>
      <c r="H3" s="2"/>
      <c r="I3" s="2"/>
      <c r="J3" s="2"/>
      <c r="L3" s="3" t="s">
        <v>195</v>
      </c>
      <c r="M3" s="10">
        <f>B3</f>
        <v>0</v>
      </c>
      <c r="N3" s="2" t="s">
        <v>207</v>
      </c>
    </row>
    <row r="4" spans="1:14" ht="26" customHeight="1">
      <c r="L4" s="3" t="s">
        <v>208</v>
      </c>
      <c r="M4" s="19">
        <f>B1241-B3</f>
        <v>0</v>
      </c>
      <c r="N4" s="2" t="s">
        <v>209</v>
      </c>
    </row>
    <row r="5" spans="1:14" ht="26" customHeight="1">
      <c r="A5" s="5" t="s">
        <v>176</v>
      </c>
      <c r="B5" s="5" t="s">
        <v>196</v>
      </c>
      <c r="C5" s="5"/>
      <c r="D5" s="5" t="s">
        <v>197</v>
      </c>
      <c r="E5" s="5" t="s">
        <v>198</v>
      </c>
      <c r="F5" s="5" t="s">
        <v>199</v>
      </c>
      <c r="G5" s="5" t="s">
        <v>200</v>
      </c>
      <c r="H5" s="5" t="s">
        <v>201</v>
      </c>
      <c r="I5" s="5" t="s">
        <v>202</v>
      </c>
      <c r="J5" s="5" t="s">
        <v>203</v>
      </c>
      <c r="L5" s="3" t="s">
        <v>210</v>
      </c>
      <c r="M5" s="20">
        <f>B1241/B3-1</f>
        <v>0</v>
      </c>
      <c r="N5" s="2" t="s">
        <v>211</v>
      </c>
    </row>
    <row r="6" spans="1:14" ht="26" customHeight="1">
      <c r="A6" s="6">
        <v>44197</v>
      </c>
      <c r="B6" s="14">
        <v>9990009.99000999</v>
      </c>
      <c r="D6" s="17">
        <v>0</v>
      </c>
      <c r="E6" s="14">
        <v>10000000</v>
      </c>
      <c r="F6" s="17">
        <v>0</v>
      </c>
      <c r="G6" s="14">
        <v>10000000</v>
      </c>
      <c r="H6" s="17">
        <v>0</v>
      </c>
      <c r="I6" s="14">
        <f>B6</f>
        <v>0</v>
      </c>
      <c r="J6" s="17">
        <v>0</v>
      </c>
      <c r="L6" s="3" t="s">
        <v>212</v>
      </c>
      <c r="M6" s="21">
        <f>(A1241-A6)/365.25</f>
        <v>0</v>
      </c>
      <c r="N6" s="2" t="s">
        <v>213</v>
      </c>
    </row>
    <row r="7" spans="1:14" ht="26" customHeight="1">
      <c r="A7" s="6">
        <v>44200</v>
      </c>
      <c r="B7" s="14">
        <v>10225491.74037442</v>
      </c>
      <c r="D7" s="17">
        <f>B7/B6-1</f>
        <v>0</v>
      </c>
      <c r="E7" s="14">
        <v>10000000</v>
      </c>
      <c r="F7" s="17">
        <f>E7/E6-1</f>
        <v>0</v>
      </c>
      <c r="G7" s="14">
        <v>10133146.99916233</v>
      </c>
      <c r="H7" s="17">
        <f>G7/G6-1</f>
        <v>0</v>
      </c>
      <c r="I7" s="14">
        <f>MAX(I6,B7)</f>
        <v>0</v>
      </c>
      <c r="J7" s="17">
        <f>B7/I7-1</f>
        <v>0</v>
      </c>
      <c r="L7" s="3" t="s">
        <v>214</v>
      </c>
      <c r="M7" s="20">
        <f>(B1241/B3)^(1/((A1241-A6)/365.25))-1</f>
        <v>0</v>
      </c>
      <c r="N7" s="2" t="s">
        <v>215</v>
      </c>
    </row>
    <row r="8" spans="1:14" ht="26" customHeight="1">
      <c r="A8" s="6">
        <v>44201</v>
      </c>
      <c r="B8" s="14">
        <v>10478589.90140771</v>
      </c>
      <c r="D8" s="17">
        <f>B8/B7-1</f>
        <v>0</v>
      </c>
      <c r="E8" s="14">
        <v>10064794.94085571</v>
      </c>
      <c r="F8" s="17">
        <f>E8/E7-1</f>
        <v>0</v>
      </c>
      <c r="G8" s="14">
        <v>10205010.53618629</v>
      </c>
      <c r="H8" s="17">
        <f>G8/G7-1</f>
        <v>0</v>
      </c>
      <c r="I8" s="14">
        <f>MAX(I7,B8)</f>
        <v>0</v>
      </c>
      <c r="J8" s="17">
        <f>B8/I8-1</f>
        <v>0</v>
      </c>
      <c r="L8" s="3" t="s">
        <v>216</v>
      </c>
      <c r="M8" s="21">
        <f>STDEV(D7:D1241)</f>
        <v>0</v>
      </c>
      <c r="N8" s="2" t="s">
        <v>217</v>
      </c>
    </row>
    <row r="9" spans="1:14" ht="26" customHeight="1">
      <c r="A9" s="6">
        <v>44202</v>
      </c>
      <c r="B9" s="14">
        <v>10370720.82038438</v>
      </c>
      <c r="D9" s="17">
        <f>B9/B8-1</f>
        <v>0</v>
      </c>
      <c r="E9" s="14">
        <v>10040384.13426781</v>
      </c>
      <c r="F9" s="17">
        <f>E9/E8-1</f>
        <v>0</v>
      </c>
      <c r="G9" s="14">
        <v>10204822.95620937</v>
      </c>
      <c r="H9" s="17">
        <f>G9/G8-1</f>
        <v>0</v>
      </c>
      <c r="I9" s="14">
        <f>MAX(I8,B9)</f>
        <v>0</v>
      </c>
      <c r="J9" s="17">
        <f>B9/I9-1</f>
        <v>0</v>
      </c>
      <c r="L9" s="3" t="s">
        <v>218</v>
      </c>
      <c r="M9" s="20">
        <f>MIN(J6:J1241)</f>
        <v>0</v>
      </c>
      <c r="N9" s="2" t="s">
        <v>219</v>
      </c>
    </row>
    <row r="10" spans="1:14" ht="26" customHeight="1">
      <c r="A10" s="6">
        <v>44203</v>
      </c>
      <c r="B10" s="14">
        <v>10240135.69960517</v>
      </c>
      <c r="D10" s="17">
        <f>B10/B9-1</f>
        <v>0</v>
      </c>
      <c r="E10" s="14">
        <v>10064983.34093341</v>
      </c>
      <c r="F10" s="17">
        <f>E10/E9-1</f>
        <v>0</v>
      </c>
      <c r="G10" s="14">
        <v>10302599.83032227</v>
      </c>
      <c r="H10" s="17">
        <f>G10/G9-1</f>
        <v>0</v>
      </c>
      <c r="I10" s="14">
        <f>MAX(I9,B10)</f>
        <v>0</v>
      </c>
      <c r="J10" s="17">
        <f>B10/I10-1</f>
        <v>0</v>
      </c>
      <c r="L10" s="3" t="s">
        <v>220</v>
      </c>
      <c r="M10" s="10">
        <f>'3. Trade Log'!G318</f>
        <v>0</v>
      </c>
      <c r="N10" s="2" t="s">
        <v>221</v>
      </c>
    </row>
    <row r="11" spans="1:14" ht="26" customHeight="1">
      <c r="A11" s="6">
        <v>44204</v>
      </c>
      <c r="B11" s="14">
        <v>10459229.05374127</v>
      </c>
      <c r="D11" s="17">
        <f>B11/B10-1</f>
        <v>0</v>
      </c>
      <c r="E11" s="14">
        <v>10201902.47390735</v>
      </c>
      <c r="F11" s="17">
        <f>E11/E10-1</f>
        <v>0</v>
      </c>
      <c r="G11" s="14">
        <v>10421809.0714633</v>
      </c>
      <c r="H11" s="17">
        <f>G11/G10-1</f>
        <v>0</v>
      </c>
      <c r="I11" s="14">
        <f>MAX(I10,B11)</f>
        <v>0</v>
      </c>
      <c r="J11" s="17">
        <f>B11/I11-1</f>
        <v>0</v>
      </c>
      <c r="L11" s="3" t="s">
        <v>222</v>
      </c>
      <c r="M11" s="10">
        <f>E1241</f>
        <v>0</v>
      </c>
      <c r="N11" s="2" t="s">
        <v>223</v>
      </c>
    </row>
    <row r="12" spans="1:14" ht="26" customHeight="1">
      <c r="A12" s="6">
        <v>44207</v>
      </c>
      <c r="B12" s="14">
        <v>10603807.08838759</v>
      </c>
      <c r="D12" s="17">
        <f>B12/B11-1</f>
        <v>0</v>
      </c>
      <c r="E12" s="14">
        <v>10271595.52389769</v>
      </c>
      <c r="F12" s="17">
        <f>E12/E11-1</f>
        <v>0</v>
      </c>
      <c r="G12" s="14">
        <v>10432749.0025334</v>
      </c>
      <c r="H12" s="17">
        <f>G12/G11-1</f>
        <v>0</v>
      </c>
      <c r="I12" s="14">
        <f>MAX(I11,B12)</f>
        <v>0</v>
      </c>
      <c r="J12" s="17">
        <f>B12/I12-1</f>
        <v>0</v>
      </c>
      <c r="L12" s="3" t="s">
        <v>224</v>
      </c>
      <c r="M12" s="10">
        <f>G1241</f>
        <v>0</v>
      </c>
      <c r="N12" s="2" t="s">
        <v>225</v>
      </c>
    </row>
    <row r="13" spans="1:14">
      <c r="A13" s="6">
        <v>44208</v>
      </c>
      <c r="B13" s="14">
        <v>10616065.67099578</v>
      </c>
      <c r="D13" s="17">
        <f>B13/B12-1</f>
        <v>0</v>
      </c>
      <c r="E13" s="14">
        <v>10316442.13848412</v>
      </c>
      <c r="F13" s="17">
        <f>E13/E12-1</f>
        <v>0</v>
      </c>
      <c r="G13" s="14">
        <v>10472747.16685066</v>
      </c>
      <c r="H13" s="17">
        <f>G13/G12-1</f>
        <v>0</v>
      </c>
      <c r="I13" s="14">
        <f>MAX(I12,B13)</f>
        <v>0</v>
      </c>
      <c r="J13" s="17">
        <f>B13/I13-1</f>
        <v>0</v>
      </c>
    </row>
    <row r="14" spans="1:14">
      <c r="A14" s="6">
        <v>44209</v>
      </c>
      <c r="B14" s="14">
        <v>10637616.63883231</v>
      </c>
      <c r="D14" s="17">
        <f>B14/B13-1</f>
        <v>0</v>
      </c>
      <c r="E14" s="14">
        <v>10302175.27296031</v>
      </c>
      <c r="F14" s="17">
        <f>E14/E13-1</f>
        <v>0</v>
      </c>
      <c r="G14" s="14">
        <v>10452291.34273269</v>
      </c>
      <c r="H14" s="17">
        <f>G14/G13-1</f>
        <v>0</v>
      </c>
      <c r="I14" s="14">
        <f>MAX(I13,B14)</f>
        <v>0</v>
      </c>
      <c r="J14" s="17">
        <f>B14/I14-1</f>
        <v>0</v>
      </c>
    </row>
    <row r="15" spans="1:14">
      <c r="A15" s="6">
        <v>44210</v>
      </c>
      <c r="B15" s="14">
        <v>10668666.16558215</v>
      </c>
      <c r="D15" s="17">
        <f>B15/B14-1</f>
        <v>0</v>
      </c>
      <c r="E15" s="14">
        <v>10326964.7798707</v>
      </c>
      <c r="F15" s="17">
        <f>E15/E14-1</f>
        <v>0</v>
      </c>
      <c r="G15" s="14">
        <v>10467981.04145701</v>
      </c>
      <c r="H15" s="17">
        <f>G15/G14-1</f>
        <v>0</v>
      </c>
      <c r="I15" s="14">
        <f>MAX(I14,B15)</f>
        <v>0</v>
      </c>
      <c r="J15" s="17">
        <f>B15/I15-1</f>
        <v>0</v>
      </c>
    </row>
    <row r="16" spans="1:14">
      <c r="A16" s="6">
        <v>44211</v>
      </c>
      <c r="B16" s="14">
        <v>10456030.59308188</v>
      </c>
      <c r="D16" s="17">
        <f>B16/B15-1</f>
        <v>0</v>
      </c>
      <c r="E16" s="14">
        <v>10209123.78297741</v>
      </c>
      <c r="F16" s="17">
        <f>E16/E15-1</f>
        <v>0</v>
      </c>
      <c r="G16" s="14">
        <v>10343524.69356183</v>
      </c>
      <c r="H16" s="17">
        <f>G16/G15-1</f>
        <v>0</v>
      </c>
      <c r="I16" s="14">
        <f>MAX(I15,B16)</f>
        <v>0</v>
      </c>
      <c r="J16" s="17">
        <f>B16/I16-1</f>
        <v>0</v>
      </c>
    </row>
    <row r="17" spans="1:10">
      <c r="A17" s="6">
        <v>44214</v>
      </c>
      <c r="B17" s="14">
        <v>10206395.27660641</v>
      </c>
      <c r="D17" s="17">
        <f>B17/B16-1</f>
        <v>0</v>
      </c>
      <c r="E17" s="14">
        <v>10076981.68306517</v>
      </c>
      <c r="F17" s="17">
        <f>E17/E16-1</f>
        <v>0</v>
      </c>
      <c r="G17" s="14">
        <v>10150239.87817721</v>
      </c>
      <c r="H17" s="17">
        <f>G17/G16-1</f>
        <v>0</v>
      </c>
      <c r="I17" s="14">
        <f>MAX(I16,B17)</f>
        <v>0</v>
      </c>
      <c r="J17" s="17">
        <f>B17/I17-1</f>
        <v>0</v>
      </c>
    </row>
    <row r="18" spans="1:10">
      <c r="A18" s="6">
        <v>44215</v>
      </c>
      <c r="B18" s="14">
        <v>10308840.71464323</v>
      </c>
      <c r="D18" s="17">
        <f>B18/B17-1</f>
        <v>0</v>
      </c>
      <c r="E18" s="14">
        <v>10253437.26531452</v>
      </c>
      <c r="F18" s="17">
        <f>E18/E17-1</f>
        <v>0</v>
      </c>
      <c r="G18" s="14">
        <v>10352213.07616334</v>
      </c>
      <c r="H18" s="17">
        <f>G18/G17-1</f>
        <v>0</v>
      </c>
      <c r="I18" s="14">
        <f>MAX(I17,B18)</f>
        <v>0</v>
      </c>
      <c r="J18" s="17">
        <f>B18/I18-1</f>
        <v>0</v>
      </c>
    </row>
    <row r="19" spans="1:10">
      <c r="A19" s="6">
        <v>44216</v>
      </c>
      <c r="B19" s="14">
        <v>10416617.80486728</v>
      </c>
      <c r="D19" s="17">
        <f>B19/B18-1</f>
        <v>0</v>
      </c>
      <c r="E19" s="14">
        <v>10336505.15328424</v>
      </c>
      <c r="F19" s="17">
        <f>E19/E18-1</f>
        <v>0</v>
      </c>
      <c r="G19" s="14">
        <v>10414204.21366159</v>
      </c>
      <c r="H19" s="17">
        <f>G19/G18-1</f>
        <v>0</v>
      </c>
      <c r="I19" s="14">
        <f>MAX(I18,B19)</f>
        <v>0</v>
      </c>
      <c r="J19" s="17">
        <f>B19/I19-1</f>
        <v>0</v>
      </c>
    </row>
    <row r="20" spans="1:10">
      <c r="A20" s="6">
        <v>44217</v>
      </c>
      <c r="B20" s="14">
        <v>10300173.33650376</v>
      </c>
      <c r="D20" s="17">
        <f>B20/B19-1</f>
        <v>0</v>
      </c>
      <c r="E20" s="14">
        <v>10283596.70581444</v>
      </c>
      <c r="F20" s="17">
        <f>E20/E19-1</f>
        <v>0</v>
      </c>
      <c r="G20" s="14">
        <v>10328257.99681249</v>
      </c>
      <c r="H20" s="17">
        <f>G20/G19-1</f>
        <v>0</v>
      </c>
      <c r="I20" s="14">
        <f>MAX(I19,B20)</f>
        <v>0</v>
      </c>
      <c r="J20" s="17">
        <f>B20/I20-1</f>
        <v>0</v>
      </c>
    </row>
    <row r="21" spans="1:10">
      <c r="A21" s="6">
        <v>44218</v>
      </c>
      <c r="B21" s="14">
        <v>10177652.23732942</v>
      </c>
      <c r="D21" s="17">
        <f>B21/B20-1</f>
        <v>0</v>
      </c>
      <c r="E21" s="14">
        <v>10145912.66767594</v>
      </c>
      <c r="F21" s="17">
        <f>E21/E20-1</f>
        <v>0</v>
      </c>
      <c r="G21" s="14">
        <v>10230781.73402309</v>
      </c>
      <c r="H21" s="17">
        <f>G21/G20-1</f>
        <v>0</v>
      </c>
      <c r="I21" s="14">
        <f>MAX(I20,B21)</f>
        <v>0</v>
      </c>
      <c r="J21" s="17">
        <f>B21/I21-1</f>
        <v>0</v>
      </c>
    </row>
    <row r="22" spans="1:10">
      <c r="A22" s="6">
        <v>44221</v>
      </c>
      <c r="B22" s="14">
        <v>10090527.77669461</v>
      </c>
      <c r="D22" s="17">
        <f>B22/B21-1</f>
        <v>0</v>
      </c>
      <c r="E22" s="14">
        <v>10051565.56115487</v>
      </c>
      <c r="F22" s="17">
        <f>E22/E21-1</f>
        <v>0</v>
      </c>
      <c r="G22" s="14">
        <v>10132501.23861117</v>
      </c>
      <c r="H22" s="17">
        <f>G22/G21-1</f>
        <v>0</v>
      </c>
      <c r="I22" s="14">
        <f>MAX(I21,B22)</f>
        <v>0</v>
      </c>
      <c r="J22" s="17">
        <f>B22/I22-1</f>
        <v>0</v>
      </c>
    </row>
    <row r="23" spans="1:10">
      <c r="A23" s="6">
        <v>44223</v>
      </c>
      <c r="B23" s="14">
        <v>10024085.17748167</v>
      </c>
      <c r="D23" s="17">
        <f>B23/B22-1</f>
        <v>0</v>
      </c>
      <c r="E23" s="14">
        <v>9883129.612918181</v>
      </c>
      <c r="F23" s="17">
        <f>E23/E22-1</f>
        <v>0</v>
      </c>
      <c r="G23" s="14">
        <v>10043980.59586551</v>
      </c>
      <c r="H23" s="17">
        <f>G23/G22-1</f>
        <v>0</v>
      </c>
      <c r="I23" s="14">
        <f>MAX(I22,B23)</f>
        <v>0</v>
      </c>
      <c r="J23" s="17">
        <f>B23/I23-1</f>
        <v>0</v>
      </c>
    </row>
    <row r="24" spans="1:10">
      <c r="A24" s="6">
        <v>44224</v>
      </c>
      <c r="B24" s="14">
        <v>9910018.913751164</v>
      </c>
      <c r="D24" s="17">
        <f>B24/B23-1</f>
        <v>0</v>
      </c>
      <c r="E24" s="14">
        <v>9794752.510654414</v>
      </c>
      <c r="F24" s="17">
        <f>E24/E23-1</f>
        <v>0</v>
      </c>
      <c r="G24" s="14">
        <v>9990299.666559692</v>
      </c>
      <c r="H24" s="17">
        <f>G24/G23-1</f>
        <v>0</v>
      </c>
      <c r="I24" s="14">
        <f>MAX(I23,B24)</f>
        <v>0</v>
      </c>
      <c r="J24" s="17">
        <f>B24/I24-1</f>
        <v>0</v>
      </c>
    </row>
    <row r="25" spans="1:10">
      <c r="A25" s="6">
        <v>44225</v>
      </c>
      <c r="B25" s="14">
        <v>9743500.404763414</v>
      </c>
      <c r="D25" s="17">
        <f>B25/B24-1</f>
        <v>0</v>
      </c>
      <c r="E25" s="14">
        <v>9675251.887865849</v>
      </c>
      <c r="F25" s="17">
        <f>E25/E24-1</f>
        <v>0</v>
      </c>
      <c r="G25" s="14">
        <v>9933285.078697594</v>
      </c>
      <c r="H25" s="17">
        <f>G25/G24-1</f>
        <v>0</v>
      </c>
      <c r="I25" s="14">
        <f>MAX(I24,B25)</f>
        <v>0</v>
      </c>
      <c r="J25" s="17">
        <f>B25/I25-1</f>
        <v>0</v>
      </c>
    </row>
    <row r="26" spans="1:10">
      <c r="A26" s="6">
        <v>44228</v>
      </c>
      <c r="B26" s="14">
        <v>9863049.840822086</v>
      </c>
      <c r="D26" s="17">
        <f>B26/B25-1</f>
        <v>0</v>
      </c>
      <c r="E26" s="14">
        <v>10076123.05034906</v>
      </c>
      <c r="F26" s="17">
        <f>E26/E25-1</f>
        <v>0</v>
      </c>
      <c r="G26" s="14">
        <v>10210552.62805765</v>
      </c>
      <c r="H26" s="17">
        <f>G26/G25-1</f>
        <v>0</v>
      </c>
      <c r="I26" s="14">
        <f>MAX(I25,B26)</f>
        <v>0</v>
      </c>
      <c r="J26" s="17">
        <f>B26/I26-1</f>
        <v>0</v>
      </c>
    </row>
    <row r="27" spans="1:10">
      <c r="A27" s="6">
        <v>44229</v>
      </c>
      <c r="B27" s="14">
        <v>10028104.68335081</v>
      </c>
      <c r="D27" s="17">
        <f>B27/B26-1</f>
        <v>0</v>
      </c>
      <c r="E27" s="14">
        <v>10318957.1606988</v>
      </c>
      <c r="F27" s="17">
        <f>E27/E26-1</f>
        <v>0</v>
      </c>
      <c r="G27" s="14">
        <v>10394909.47710505</v>
      </c>
      <c r="H27" s="17">
        <f>G27/G26-1</f>
        <v>0</v>
      </c>
      <c r="I27" s="14">
        <f>MAX(I26,B27)</f>
        <v>0</v>
      </c>
      <c r="J27" s="17">
        <f>B27/I27-1</f>
        <v>0</v>
      </c>
    </row>
    <row r="28" spans="1:10">
      <c r="A28" s="6">
        <v>44230</v>
      </c>
      <c r="B28" s="14">
        <v>10333946.64743072</v>
      </c>
      <c r="D28" s="17">
        <f>B28/B27-1</f>
        <v>0</v>
      </c>
      <c r="E28" s="14">
        <v>10422866.95452761</v>
      </c>
      <c r="F28" s="17">
        <f>E28/E27-1</f>
        <v>0</v>
      </c>
      <c r="G28" s="14">
        <v>10522596.61566831</v>
      </c>
      <c r="H28" s="17">
        <f>G28/G27-1</f>
        <v>0</v>
      </c>
      <c r="I28" s="14">
        <f>MAX(I27,B28)</f>
        <v>0</v>
      </c>
      <c r="J28" s="17">
        <f>B28/I28-1</f>
        <v>0</v>
      </c>
    </row>
    <row r="29" spans="1:10">
      <c r="A29" s="6">
        <v>44231</v>
      </c>
      <c r="B29" s="14">
        <v>10364636.94571782</v>
      </c>
      <c r="D29" s="17">
        <f>B29/B28-1</f>
        <v>0</v>
      </c>
      <c r="E29" s="14">
        <v>10519081.18218257</v>
      </c>
      <c r="F29" s="17">
        <f>E29/E28-1</f>
        <v>0</v>
      </c>
      <c r="G29" s="14">
        <v>10661140.7205732</v>
      </c>
      <c r="H29" s="17">
        <f>G29/G28-1</f>
        <v>0</v>
      </c>
      <c r="I29" s="14">
        <f>MAX(I28,B29)</f>
        <v>0</v>
      </c>
      <c r="J29" s="17">
        <f>B29/I29-1</f>
        <v>0</v>
      </c>
    </row>
    <row r="30" spans="1:10">
      <c r="A30" s="6">
        <v>44232</v>
      </c>
      <c r="B30" s="14">
        <v>10237137.75005388</v>
      </c>
      <c r="D30" s="17">
        <f>B30/B29-1</f>
        <v>0</v>
      </c>
      <c r="E30" s="14">
        <v>10514444.92170113</v>
      </c>
      <c r="F30" s="17">
        <f>E30/E29-1</f>
        <v>0</v>
      </c>
      <c r="G30" s="14">
        <v>10622894.84686023</v>
      </c>
      <c r="H30" s="17">
        <f>G30/G29-1</f>
        <v>0</v>
      </c>
      <c r="I30" s="14">
        <f>MAX(I29,B30)</f>
        <v>0</v>
      </c>
      <c r="J30" s="17">
        <f>B30/I30-1</f>
        <v>0</v>
      </c>
    </row>
    <row r="31" spans="1:10">
      <c r="A31" s="6">
        <v>44235</v>
      </c>
      <c r="B31" s="14">
        <v>10381074.30684137</v>
      </c>
      <c r="D31" s="17">
        <f>B31/B30-1</f>
        <v>0</v>
      </c>
      <c r="E31" s="14">
        <v>10653185.02129092</v>
      </c>
      <c r="F31" s="17">
        <f>E31/E30-1</f>
        <v>0</v>
      </c>
      <c r="G31" s="14">
        <v>10775785.66902876</v>
      </c>
      <c r="H31" s="17">
        <f>G31/G30-1</f>
        <v>0</v>
      </c>
      <c r="I31" s="14">
        <f>MAX(I30,B31)</f>
        <v>0</v>
      </c>
      <c r="J31" s="17">
        <f>B31/I31-1</f>
        <v>0</v>
      </c>
    </row>
    <row r="32" spans="1:10">
      <c r="A32" s="6">
        <v>44236</v>
      </c>
      <c r="B32" s="14">
        <v>10318752.10382573</v>
      </c>
      <c r="D32" s="17">
        <f>B32/B31-1</f>
        <v>0</v>
      </c>
      <c r="E32" s="14">
        <v>10647613.09150333</v>
      </c>
      <c r="F32" s="17">
        <f>E32/E31-1</f>
        <v>0</v>
      </c>
      <c r="G32" s="14">
        <v>10751884.58025389</v>
      </c>
      <c r="H32" s="17">
        <f>G32/G31-1</f>
        <v>0</v>
      </c>
      <c r="I32" s="14">
        <f>MAX(I31,B32)</f>
        <v>0</v>
      </c>
      <c r="J32" s="17">
        <f>B32/I32-1</f>
        <v>0</v>
      </c>
    </row>
    <row r="33" spans="1:10">
      <c r="A33" s="6">
        <v>44237</v>
      </c>
      <c r="B33" s="14">
        <v>10410638.24994962</v>
      </c>
      <c r="D33" s="17">
        <f>B33/B32-1</f>
        <v>0</v>
      </c>
      <c r="E33" s="14">
        <v>10663747.90019886</v>
      </c>
      <c r="F33" s="17">
        <f>E33/E32-1</f>
        <v>0</v>
      </c>
      <c r="G33" s="14">
        <v>10788096.35381384</v>
      </c>
      <c r="H33" s="17">
        <f>G33/G32-1</f>
        <v>0</v>
      </c>
      <c r="I33" s="14">
        <f>MAX(I32,B33)</f>
        <v>0</v>
      </c>
      <c r="J33" s="17">
        <f>B33/I33-1</f>
        <v>0</v>
      </c>
    </row>
    <row r="34" spans="1:10">
      <c r="A34" s="6">
        <v>44238</v>
      </c>
      <c r="B34" s="14">
        <v>10436441.80310522</v>
      </c>
      <c r="D34" s="17">
        <f>B34/B33-1</f>
        <v>0</v>
      </c>
      <c r="E34" s="14">
        <v>10717049.62979122</v>
      </c>
      <c r="F34" s="17">
        <f>E34/E33-1</f>
        <v>0</v>
      </c>
      <c r="G34" s="14">
        <v>10855416.92276315</v>
      </c>
      <c r="H34" s="17">
        <f>G34/G33-1</f>
        <v>0</v>
      </c>
      <c r="I34" s="14">
        <f>MAX(I33,B34)</f>
        <v>0</v>
      </c>
      <c r="J34" s="17">
        <f>B34/I34-1</f>
        <v>0</v>
      </c>
    </row>
    <row r="35" spans="1:10">
      <c r="A35" s="6">
        <v>44239</v>
      </c>
      <c r="B35" s="14">
        <v>10503696.76879382</v>
      </c>
      <c r="D35" s="17">
        <f>B35/B34-1</f>
        <v>0</v>
      </c>
      <c r="E35" s="14">
        <v>10712807.12396286</v>
      </c>
      <c r="F35" s="17">
        <f>E35/E34-1</f>
        <v>0</v>
      </c>
      <c r="G35" s="14">
        <v>10848245.60494549</v>
      </c>
      <c r="H35" s="17">
        <f>G35/G34-1</f>
        <v>0</v>
      </c>
      <c r="I35" s="14">
        <f>MAX(I34,B35)</f>
        <v>0</v>
      </c>
      <c r="J35" s="17">
        <f>B35/I35-1</f>
        <v>0</v>
      </c>
    </row>
    <row r="36" spans="1:10">
      <c r="A36" s="6">
        <v>44242</v>
      </c>
      <c r="B36" s="14">
        <v>10533741.45751813</v>
      </c>
      <c r="D36" s="17">
        <f>B36/B35-1</f>
        <v>0</v>
      </c>
      <c r="E36" s="14">
        <v>10819087.44686341</v>
      </c>
      <c r="F36" s="17">
        <f>E36/E35-1</f>
        <v>0</v>
      </c>
      <c r="G36" s="14">
        <v>10924927.59118527</v>
      </c>
      <c r="H36" s="17">
        <f>G36/G35-1</f>
        <v>0</v>
      </c>
      <c r="I36" s="14">
        <f>MAX(I35,B36)</f>
        <v>0</v>
      </c>
      <c r="J36" s="17">
        <f>B36/I36-1</f>
        <v>0</v>
      </c>
    </row>
    <row r="37" spans="1:10">
      <c r="A37" s="6">
        <v>44243</v>
      </c>
      <c r="B37" s="14">
        <v>10428684.20534333</v>
      </c>
      <c r="D37" s="17">
        <f>B37/B36-1</f>
        <v>0</v>
      </c>
      <c r="E37" s="14">
        <v>10832578.63538917</v>
      </c>
      <c r="F37" s="17">
        <f>E37/E36-1</f>
        <v>0</v>
      </c>
      <c r="G37" s="14">
        <v>10984407.21597271</v>
      </c>
      <c r="H37" s="17">
        <f>G37/G36-1</f>
        <v>0</v>
      </c>
      <c r="I37" s="14">
        <f>MAX(I36,B37)</f>
        <v>0</v>
      </c>
      <c r="J37" s="17">
        <f>B37/I37-1</f>
        <v>0</v>
      </c>
    </row>
    <row r="38" spans="1:10">
      <c r="A38" s="6">
        <v>44244</v>
      </c>
      <c r="B38" s="14">
        <v>10304251.96266119</v>
      </c>
      <c r="D38" s="17">
        <f>B38/B37-1</f>
        <v>0</v>
      </c>
      <c r="E38" s="14">
        <v>10790482.60748602</v>
      </c>
      <c r="F38" s="17">
        <f>E38/E37-1</f>
        <v>0</v>
      </c>
      <c r="G38" s="14">
        <v>11027760.66801115</v>
      </c>
      <c r="H38" s="17">
        <f>G38/G37-1</f>
        <v>0</v>
      </c>
      <c r="I38" s="14">
        <f>MAX(I37,B38)</f>
        <v>0</v>
      </c>
      <c r="J38" s="17">
        <f>B38/I38-1</f>
        <v>0</v>
      </c>
    </row>
    <row r="39" spans="1:10">
      <c r="A39" s="6">
        <v>44245</v>
      </c>
      <c r="B39" s="14">
        <v>10275643.10715123</v>
      </c>
      <c r="D39" s="17">
        <f>B39/B38-1</f>
        <v>0</v>
      </c>
      <c r="E39" s="14">
        <v>10763800.63310355</v>
      </c>
      <c r="F39" s="17">
        <f>E39/E38-1</f>
        <v>0</v>
      </c>
      <c r="G39" s="14">
        <v>11127318.95467214</v>
      </c>
      <c r="H39" s="17">
        <f>G39/G38-1</f>
        <v>0</v>
      </c>
      <c r="I39" s="14">
        <f>MAX(I38,B39)</f>
        <v>0</v>
      </c>
      <c r="J39" s="17">
        <f>B39/I39-1</f>
        <v>0</v>
      </c>
    </row>
    <row r="40" spans="1:10">
      <c r="A40" s="6">
        <v>44246</v>
      </c>
      <c r="B40" s="14">
        <v>10213950.50384115</v>
      </c>
      <c r="D40" s="17">
        <f>B40/B39-1</f>
        <v>0</v>
      </c>
      <c r="E40" s="14">
        <v>10655610.09980944</v>
      </c>
      <c r="F40" s="17">
        <f>E40/E39-1</f>
        <v>0</v>
      </c>
      <c r="G40" s="14">
        <v>11016797.59518211</v>
      </c>
      <c r="H40" s="17">
        <f>G40/G39-1</f>
        <v>0</v>
      </c>
      <c r="I40" s="14">
        <f>MAX(I39,B40)</f>
        <v>0</v>
      </c>
      <c r="J40" s="17">
        <f>B40/I40-1</f>
        <v>0</v>
      </c>
    </row>
    <row r="41" spans="1:10">
      <c r="A41" s="6">
        <v>44249</v>
      </c>
      <c r="B41" s="14">
        <v>10093760.22240824</v>
      </c>
      <c r="D41" s="17">
        <f>B41/B40-1</f>
        <v>0</v>
      </c>
      <c r="E41" s="14">
        <v>10462302.04345598</v>
      </c>
      <c r="F41" s="17">
        <f>E41/E40-1</f>
        <v>0</v>
      </c>
      <c r="G41" s="14">
        <v>10874360.86918005</v>
      </c>
      <c r="H41" s="17">
        <f>G41/G40-1</f>
        <v>0</v>
      </c>
      <c r="I41" s="14">
        <f>MAX(I40,B41)</f>
        <v>0</v>
      </c>
      <c r="J41" s="17">
        <f>B41/I41-1</f>
        <v>0</v>
      </c>
    </row>
    <row r="42" spans="1:10">
      <c r="A42" s="6">
        <v>44250</v>
      </c>
      <c r="B42" s="14">
        <v>10071880.70516652</v>
      </c>
      <c r="D42" s="17">
        <f>B42/B41-1</f>
        <v>0</v>
      </c>
      <c r="E42" s="14">
        <v>10506619.99479877</v>
      </c>
      <c r="F42" s="17">
        <f>E42/E41-1</f>
        <v>0</v>
      </c>
      <c r="G42" s="14">
        <v>10974174.52037367</v>
      </c>
      <c r="H42" s="17">
        <f>G42/G41-1</f>
        <v>0</v>
      </c>
      <c r="I42" s="14">
        <f>MAX(I41,B42)</f>
        <v>0</v>
      </c>
      <c r="J42" s="17">
        <f>B42/I42-1</f>
        <v>0</v>
      </c>
    </row>
    <row r="43" spans="1:10">
      <c r="A43" s="6">
        <v>44251</v>
      </c>
      <c r="B43" s="14">
        <v>10159013.23810103</v>
      </c>
      <c r="D43" s="17">
        <f>B43/B42-1</f>
        <v>0</v>
      </c>
      <c r="E43" s="14">
        <v>10671183.1701001</v>
      </c>
      <c r="F43" s="17">
        <f>E43/E42-1</f>
        <v>0</v>
      </c>
      <c r="G43" s="14">
        <v>11091569.09179804</v>
      </c>
      <c r="H43" s="17">
        <f>G43/G42-1</f>
        <v>0</v>
      </c>
      <c r="I43" s="14">
        <f>MAX(I42,B43)</f>
        <v>0</v>
      </c>
      <c r="J43" s="17">
        <f>B43/I43-1</f>
        <v>0</v>
      </c>
    </row>
    <row r="44" spans="1:10">
      <c r="A44" s="6">
        <v>44252</v>
      </c>
      <c r="B44" s="14">
        <v>10153453.15023065</v>
      </c>
      <c r="D44" s="17">
        <f>B44/B43-1</f>
        <v>0</v>
      </c>
      <c r="E44" s="14">
        <v>10768205.42925036</v>
      </c>
      <c r="F44" s="17">
        <f>E44/E43-1</f>
        <v>0</v>
      </c>
      <c r="G44" s="14">
        <v>11262488.49914212</v>
      </c>
      <c r="H44" s="17">
        <f>G44/G43-1</f>
        <v>0</v>
      </c>
      <c r="I44" s="14">
        <f>MAX(I43,B44)</f>
        <v>0</v>
      </c>
      <c r="J44" s="17">
        <f>B44/I44-1</f>
        <v>0</v>
      </c>
    </row>
    <row r="45" spans="1:10">
      <c r="A45" s="6">
        <v>44253</v>
      </c>
      <c r="B45" s="14">
        <v>10039237.87472807</v>
      </c>
      <c r="D45" s="17">
        <f>B45/B44-1</f>
        <v>0</v>
      </c>
      <c r="E45" s="14">
        <v>10437606.29995091</v>
      </c>
      <c r="F45" s="17">
        <f>E45/E44-1</f>
        <v>0</v>
      </c>
      <c r="G45" s="14">
        <v>11075972.13720034</v>
      </c>
      <c r="H45" s="17">
        <f>G45/G44-1</f>
        <v>0</v>
      </c>
      <c r="I45" s="14">
        <f>MAX(I44,B45)</f>
        <v>0</v>
      </c>
      <c r="J45" s="17">
        <f>B45/I45-1</f>
        <v>0</v>
      </c>
    </row>
    <row r="46" spans="1:10">
      <c r="A46" s="6">
        <v>44256</v>
      </c>
      <c r="B46" s="14">
        <v>10241896.35635008</v>
      </c>
      <c r="D46" s="17">
        <f>B46/B45-1</f>
        <v>0</v>
      </c>
      <c r="E46" s="14">
        <v>10598247.68325774</v>
      </c>
      <c r="F46" s="17">
        <f>E46/E45-1</f>
        <v>0</v>
      </c>
      <c r="G46" s="14">
        <v>11261481.84201811</v>
      </c>
      <c r="H46" s="17">
        <f>G46/G45-1</f>
        <v>0</v>
      </c>
      <c r="I46" s="14">
        <f>MAX(I45,B46)</f>
        <v>0</v>
      </c>
      <c r="J46" s="17">
        <f>B46/I46-1</f>
        <v>0</v>
      </c>
    </row>
    <row r="47" spans="1:10">
      <c r="A47" s="6">
        <v>44257</v>
      </c>
      <c r="B47" s="14">
        <v>10400983.7089069</v>
      </c>
      <c r="D47" s="17">
        <f>B47/B46-1</f>
        <v>0</v>
      </c>
      <c r="E47" s="14">
        <v>10728228.64060434</v>
      </c>
      <c r="F47" s="17">
        <f>E47/E46-1</f>
        <v>0</v>
      </c>
      <c r="G47" s="14">
        <v>11443248.37333342</v>
      </c>
      <c r="H47" s="17">
        <f>G47/G46-1</f>
        <v>0</v>
      </c>
      <c r="I47" s="14">
        <f>MAX(I46,B47)</f>
        <v>0</v>
      </c>
      <c r="J47" s="17">
        <f>B47/I47-1</f>
        <v>0</v>
      </c>
    </row>
    <row r="48" spans="1:10">
      <c r="A48" s="6">
        <v>44258</v>
      </c>
      <c r="B48" s="14">
        <v>10558372.47503651</v>
      </c>
      <c r="D48" s="17">
        <f>B48/B47-1</f>
        <v>0</v>
      </c>
      <c r="E48" s="14">
        <v>10939029.21422684</v>
      </c>
      <c r="F48" s="17">
        <f>E48/E47-1</f>
        <v>0</v>
      </c>
      <c r="G48" s="14">
        <v>11594217.61175697</v>
      </c>
      <c r="H48" s="17">
        <f>G48/G47-1</f>
        <v>0</v>
      </c>
      <c r="I48" s="14">
        <f>MAX(I47,B48)</f>
        <v>0</v>
      </c>
      <c r="J48" s="17">
        <f>B48/I48-1</f>
        <v>0</v>
      </c>
    </row>
    <row r="49" spans="1:10">
      <c r="A49" s="6">
        <v>44259</v>
      </c>
      <c r="B49" s="14">
        <v>10526567.34844541</v>
      </c>
      <c r="D49" s="17">
        <f>B49/B48-1</f>
        <v>0</v>
      </c>
      <c r="E49" s="14">
        <v>10874463.20808499</v>
      </c>
      <c r="F49" s="17">
        <f>E49/E48-1</f>
        <v>0</v>
      </c>
      <c r="G49" s="14">
        <v>11650060.02527329</v>
      </c>
      <c r="H49" s="17">
        <f>G49/G48-1</f>
        <v>0</v>
      </c>
      <c r="I49" s="14">
        <f>MAX(I48,B49)</f>
        <v>0</v>
      </c>
      <c r="J49" s="17">
        <f>B49/I49-1</f>
        <v>0</v>
      </c>
    </row>
    <row r="50" spans="1:10">
      <c r="A50" s="6">
        <v>44260</v>
      </c>
      <c r="B50" s="14">
        <v>10331925.84255149</v>
      </c>
      <c r="D50" s="17">
        <f>B50/B49-1</f>
        <v>0</v>
      </c>
      <c r="E50" s="14">
        <v>10746558.51799893</v>
      </c>
      <c r="F50" s="17">
        <f>E50/E49-1</f>
        <v>0</v>
      </c>
      <c r="G50" s="14">
        <v>11476745.42031331</v>
      </c>
      <c r="H50" s="17">
        <f>G50/G49-1</f>
        <v>0</v>
      </c>
      <c r="I50" s="14">
        <f>MAX(I49,B50)</f>
        <v>0</v>
      </c>
      <c r="J50" s="17">
        <f>B50/I50-1</f>
        <v>0</v>
      </c>
    </row>
    <row r="51" spans="1:10">
      <c r="A51" s="6">
        <v>44263</v>
      </c>
      <c r="B51" s="14">
        <v>10366316.98465752</v>
      </c>
      <c r="D51" s="17">
        <f>B51/B50-1</f>
        <v>0</v>
      </c>
      <c r="E51" s="14">
        <v>10764168.58740545</v>
      </c>
      <c r="F51" s="17">
        <f>E51/E50-1</f>
        <v>0</v>
      </c>
      <c r="G51" s="14">
        <v>11530044.21218925</v>
      </c>
      <c r="H51" s="17">
        <f>G51/G50-1</f>
        <v>0</v>
      </c>
      <c r="I51" s="14">
        <f>MAX(I50,B51)</f>
        <v>0</v>
      </c>
      <c r="J51" s="17">
        <f>B51/I51-1</f>
        <v>0</v>
      </c>
    </row>
    <row r="52" spans="1:10">
      <c r="A52" s="6">
        <v>44264</v>
      </c>
      <c r="B52" s="14">
        <v>10375819.05440475</v>
      </c>
      <c r="D52" s="17">
        <f>B52/B51-1</f>
        <v>0</v>
      </c>
      <c r="E52" s="14">
        <v>10814606.74268364</v>
      </c>
      <c r="F52" s="17">
        <f>E52/E51-1</f>
        <v>0</v>
      </c>
      <c r="G52" s="14">
        <v>11484933.00858205</v>
      </c>
      <c r="H52" s="17">
        <f>G52/G51-1</f>
        <v>0</v>
      </c>
      <c r="I52" s="14">
        <f>MAX(I51,B52)</f>
        <v>0</v>
      </c>
      <c r="J52" s="17">
        <f>B52/I52-1</f>
        <v>0</v>
      </c>
    </row>
    <row r="53" spans="1:10">
      <c r="A53" s="6">
        <v>44265</v>
      </c>
      <c r="B53" s="14">
        <v>10619394.84300874</v>
      </c>
      <c r="D53" s="17">
        <f>B53/B52-1</f>
        <v>0</v>
      </c>
      <c r="E53" s="14">
        <v>10878677.56367376</v>
      </c>
      <c r="F53" s="17">
        <f>E53/E52-1</f>
        <v>0</v>
      </c>
      <c r="G53" s="14">
        <v>11561507.34369485</v>
      </c>
      <c r="H53" s="17">
        <f>G53/G52-1</f>
        <v>0</v>
      </c>
      <c r="I53" s="14">
        <f>MAX(I52,B53)</f>
        <v>0</v>
      </c>
      <c r="J53" s="17">
        <f>B53/I53-1</f>
        <v>0</v>
      </c>
    </row>
    <row r="54" spans="1:10">
      <c r="A54" s="6">
        <v>44267</v>
      </c>
      <c r="B54" s="14">
        <v>10569276.49855921</v>
      </c>
      <c r="D54" s="17">
        <f>B54/B53-1</f>
        <v>0</v>
      </c>
      <c r="E54" s="14">
        <v>10795664.79249838</v>
      </c>
      <c r="F54" s="17">
        <f>E54/E53-1</f>
        <v>0</v>
      </c>
      <c r="G54" s="14">
        <v>11528621.82337062</v>
      </c>
      <c r="H54" s="17">
        <f>G54/G53-1</f>
        <v>0</v>
      </c>
      <c r="I54" s="14">
        <f>MAX(I53,B54)</f>
        <v>0</v>
      </c>
      <c r="J54" s="17">
        <f>B54/I54-1</f>
        <v>0</v>
      </c>
    </row>
    <row r="55" spans="1:10">
      <c r="A55" s="6">
        <v>44270</v>
      </c>
      <c r="B55" s="14">
        <v>10558882.31824295</v>
      </c>
      <c r="D55" s="17">
        <f>B55/B54-1</f>
        <v>0</v>
      </c>
      <c r="E55" s="14">
        <v>10724387.21880507</v>
      </c>
      <c r="F55" s="17">
        <f>E55/E54-1</f>
        <v>0</v>
      </c>
      <c r="G55" s="14">
        <v>11463183.03441622</v>
      </c>
      <c r="H55" s="17">
        <f>G55/G54-1</f>
        <v>0</v>
      </c>
      <c r="I55" s="14">
        <f>MAX(I54,B55)</f>
        <v>0</v>
      </c>
      <c r="J55" s="17">
        <f>B55/I55-1</f>
        <v>0</v>
      </c>
    </row>
    <row r="56" spans="1:10">
      <c r="A56" s="6">
        <v>44271</v>
      </c>
      <c r="B56" s="14">
        <v>10720052.64328507</v>
      </c>
      <c r="D56" s="17">
        <f>B56/B55-1</f>
        <v>0</v>
      </c>
      <c r="E56" s="14">
        <v>10727083.73637054</v>
      </c>
      <c r="F56" s="17">
        <f>E56/E55-1</f>
        <v>0</v>
      </c>
      <c r="G56" s="14">
        <v>11496149.33750857</v>
      </c>
      <c r="H56" s="17">
        <f>G56/G55-1</f>
        <v>0</v>
      </c>
      <c r="I56" s="14">
        <f>MAX(I55,B56)</f>
        <v>0</v>
      </c>
      <c r="J56" s="17">
        <f>B56/I56-1</f>
        <v>0</v>
      </c>
    </row>
    <row r="57" spans="1:10">
      <c r="A57" s="6">
        <v>44272</v>
      </c>
      <c r="B57" s="14">
        <v>10558819.40971193</v>
      </c>
      <c r="D57" s="17">
        <f>B57/B56-1</f>
        <v>0</v>
      </c>
      <c r="E57" s="14">
        <v>10562308.11154665</v>
      </c>
      <c r="F57" s="17">
        <f>E57/E56-1</f>
        <v>0</v>
      </c>
      <c r="G57" s="14">
        <v>11256863.72361456</v>
      </c>
      <c r="H57" s="17">
        <f>G57/G56-1</f>
        <v>0</v>
      </c>
      <c r="I57" s="14">
        <f>MAX(I56,B57)</f>
        <v>0</v>
      </c>
      <c r="J57" s="17">
        <f>B57/I57-1</f>
        <v>0</v>
      </c>
    </row>
    <row r="58" spans="1:10">
      <c r="A58" s="6">
        <v>44273</v>
      </c>
      <c r="B58" s="14">
        <v>10377730.27668927</v>
      </c>
      <c r="D58" s="17">
        <f>B58/B57-1</f>
        <v>0</v>
      </c>
      <c r="E58" s="14">
        <v>10438111.22478061</v>
      </c>
      <c r="F58" s="17">
        <f>E58/E57-1</f>
        <v>0</v>
      </c>
      <c r="G58" s="14">
        <v>11101134.89798567</v>
      </c>
      <c r="H58" s="17">
        <f>G58/G57-1</f>
        <v>0</v>
      </c>
      <c r="I58" s="14">
        <f>MAX(I57,B58)</f>
        <v>0</v>
      </c>
      <c r="J58" s="17">
        <f>B58/I58-1</f>
        <v>0</v>
      </c>
    </row>
    <row r="59" spans="1:10">
      <c r="A59" s="6">
        <v>44274</v>
      </c>
      <c r="B59" s="14">
        <v>10549650.92232429</v>
      </c>
      <c r="D59" s="17">
        <f>B59/B58-1</f>
        <v>0</v>
      </c>
      <c r="E59" s="14">
        <v>10558683.9620091</v>
      </c>
      <c r="F59" s="17">
        <f>E59/E58-1</f>
        <v>0</v>
      </c>
      <c r="G59" s="14">
        <v>11173615.07036315</v>
      </c>
      <c r="H59" s="17">
        <f>G59/G58-1</f>
        <v>0</v>
      </c>
      <c r="I59" s="14">
        <f>MAX(I58,B59)</f>
        <v>0</v>
      </c>
      <c r="J59" s="17">
        <f>B59/I59-1</f>
        <v>0</v>
      </c>
    </row>
    <row r="60" spans="1:10">
      <c r="A60" s="6">
        <v>44277</v>
      </c>
      <c r="B60" s="14">
        <v>10621831.99458347</v>
      </c>
      <c r="D60" s="17">
        <f>B60/B59-1</f>
        <v>0</v>
      </c>
      <c r="E60" s="14">
        <v>10579850.21492665</v>
      </c>
      <c r="F60" s="17">
        <f>E60/E59-1</f>
        <v>0</v>
      </c>
      <c r="G60" s="14">
        <v>11254391.80847492</v>
      </c>
      <c r="H60" s="17">
        <f>G60/G59-1</f>
        <v>0</v>
      </c>
      <c r="I60" s="14">
        <f>MAX(I59,B60)</f>
        <v>0</v>
      </c>
      <c r="J60" s="17">
        <f>B60/I60-1</f>
        <v>0</v>
      </c>
    </row>
    <row r="61" spans="1:10">
      <c r="A61" s="6">
        <v>44278</v>
      </c>
      <c r="B61" s="14">
        <v>10783652.99439556</v>
      </c>
      <c r="D61" s="17">
        <f>B61/B60-1</f>
        <v>0</v>
      </c>
      <c r="E61" s="14">
        <v>10647836.2523082</v>
      </c>
      <c r="F61" s="17">
        <f>E61/E60-1</f>
        <v>0</v>
      </c>
      <c r="G61" s="14">
        <v>11339055.78383285</v>
      </c>
      <c r="H61" s="17">
        <f>G61/G60-1</f>
        <v>0</v>
      </c>
      <c r="I61" s="14">
        <f>MAX(I60,B61)</f>
        <v>0</v>
      </c>
      <c r="J61" s="17">
        <f>B61/I61-1</f>
        <v>0</v>
      </c>
    </row>
    <row r="62" spans="1:10">
      <c r="A62" s="6">
        <v>44279</v>
      </c>
      <c r="B62" s="14">
        <v>10648081.92849247</v>
      </c>
      <c r="D62" s="17">
        <f>B62/B61-1</f>
        <v>0</v>
      </c>
      <c r="E62" s="14">
        <v>10459607.84749327</v>
      </c>
      <c r="F62" s="17">
        <f>E62/E61-1</f>
        <v>0</v>
      </c>
      <c r="G62" s="14">
        <v>11140229.06606286</v>
      </c>
      <c r="H62" s="17">
        <f>G62/G61-1</f>
        <v>0</v>
      </c>
      <c r="I62" s="14">
        <f>MAX(I61,B62)</f>
        <v>0</v>
      </c>
      <c r="J62" s="17">
        <f>B62/I62-1</f>
        <v>0</v>
      </c>
    </row>
    <row r="63" spans="1:10">
      <c r="A63" s="6">
        <v>44280</v>
      </c>
      <c r="B63" s="14">
        <v>10416566.51997002</v>
      </c>
      <c r="D63" s="17">
        <f>B63/B62-1</f>
        <v>0</v>
      </c>
      <c r="E63" s="14">
        <v>10285252.83550128</v>
      </c>
      <c r="F63" s="17">
        <f>E63/E62-1</f>
        <v>0</v>
      </c>
      <c r="G63" s="14">
        <v>10930683.83703546</v>
      </c>
      <c r="H63" s="17">
        <f>G63/G62-1</f>
        <v>0</v>
      </c>
      <c r="I63" s="14">
        <f>MAX(I62,B63)</f>
        <v>0</v>
      </c>
      <c r="J63" s="17">
        <f>B63/I63-1</f>
        <v>0</v>
      </c>
    </row>
    <row r="64" spans="1:10">
      <c r="A64" s="6">
        <v>44281</v>
      </c>
      <c r="B64" s="14">
        <v>10500179.80806698</v>
      </c>
      <c r="D64" s="17">
        <f>B64/B63-1</f>
        <v>0</v>
      </c>
      <c r="E64" s="14">
        <v>10419183.06318098</v>
      </c>
      <c r="F64" s="17">
        <f>E64/E63-1</f>
        <v>0</v>
      </c>
      <c r="G64" s="14">
        <v>11056590.30270431</v>
      </c>
      <c r="H64" s="17">
        <f>G64/G63-1</f>
        <v>0</v>
      </c>
      <c r="I64" s="14">
        <f>MAX(I63,B64)</f>
        <v>0</v>
      </c>
      <c r="J64" s="17">
        <f>B64/I64-1</f>
        <v>0</v>
      </c>
    </row>
    <row r="65" spans="1:10">
      <c r="A65" s="6">
        <v>44285</v>
      </c>
      <c r="B65" s="14">
        <v>10865495.51636334</v>
      </c>
      <c r="D65" s="17">
        <f>B65/B64-1</f>
        <v>0</v>
      </c>
      <c r="E65" s="14">
        <v>10624651.24284299</v>
      </c>
      <c r="F65" s="17">
        <f>E65/E64-1</f>
        <v>0</v>
      </c>
      <c r="G65" s="14">
        <v>11196767.87313246</v>
      </c>
      <c r="H65" s="17">
        <f>G65/G64-1</f>
        <v>0</v>
      </c>
      <c r="I65" s="14">
        <f>MAX(I64,B65)</f>
        <v>0</v>
      </c>
      <c r="J65" s="17">
        <f>B65/I65-1</f>
        <v>0</v>
      </c>
    </row>
    <row r="66" spans="1:10">
      <c r="A66" s="6">
        <v>44286</v>
      </c>
      <c r="B66" s="14">
        <v>10827065.41879879</v>
      </c>
      <c r="D66" s="17">
        <f>B66/B65-1</f>
        <v>0</v>
      </c>
      <c r="E66" s="14">
        <v>10561518.37199974</v>
      </c>
      <c r="F66" s="17">
        <f>E66/E65-1</f>
        <v>0</v>
      </c>
      <c r="G66" s="14">
        <v>11227944.17014886</v>
      </c>
      <c r="H66" s="17">
        <f>G66/G65-1</f>
        <v>0</v>
      </c>
      <c r="I66" s="14">
        <f>MAX(I65,B66)</f>
        <v>0</v>
      </c>
      <c r="J66" s="17">
        <f>B66/I66-1</f>
        <v>0</v>
      </c>
    </row>
    <row r="67" spans="1:10">
      <c r="A67" s="6">
        <v>44287</v>
      </c>
      <c r="B67" s="14">
        <v>10916295.39171705</v>
      </c>
      <c r="D67" s="17">
        <f>B67/B66-1</f>
        <v>0</v>
      </c>
      <c r="E67" s="14">
        <v>10703799.71868893</v>
      </c>
      <c r="F67" s="17">
        <f>E67/E66-1</f>
        <v>0</v>
      </c>
      <c r="G67" s="14">
        <v>11424249.56893719</v>
      </c>
      <c r="H67" s="17">
        <f>G67/G66-1</f>
        <v>0</v>
      </c>
      <c r="I67" s="14">
        <f>MAX(I66,B67)</f>
        <v>0</v>
      </c>
      <c r="J67" s="17">
        <f>B67/I67-1</f>
        <v>0</v>
      </c>
    </row>
    <row r="68" spans="1:10">
      <c r="A68" s="6">
        <v>44291</v>
      </c>
      <c r="B68" s="14">
        <v>10958460.88329473</v>
      </c>
      <c r="D68" s="17">
        <f>B68/B67-1</f>
        <v>0</v>
      </c>
      <c r="E68" s="14">
        <v>10549571.89235135</v>
      </c>
      <c r="F68" s="17">
        <f>E68/E67-1</f>
        <v>0</v>
      </c>
      <c r="G68" s="14">
        <v>11290649.1501934</v>
      </c>
      <c r="H68" s="17">
        <f>G68/G67-1</f>
        <v>0</v>
      </c>
      <c r="I68" s="14">
        <f>MAX(I67,B68)</f>
        <v>0</v>
      </c>
      <c r="J68" s="17">
        <f>B68/I68-1</f>
        <v>0</v>
      </c>
    </row>
    <row r="69" spans="1:10">
      <c r="A69" s="6">
        <v>44292</v>
      </c>
      <c r="B69" s="14">
        <v>11144043.89367735</v>
      </c>
      <c r="D69" s="17">
        <f>B69/B68-1</f>
        <v>0</v>
      </c>
      <c r="E69" s="14">
        <v>10601112.54569339</v>
      </c>
      <c r="F69" s="17">
        <f>E69/E68-1</f>
        <v>0</v>
      </c>
      <c r="G69" s="14">
        <v>11367703.53093283</v>
      </c>
      <c r="H69" s="17">
        <f>G69/G68-1</f>
        <v>0</v>
      </c>
      <c r="I69" s="14">
        <f>MAX(I68,B69)</f>
        <v>0</v>
      </c>
      <c r="J69" s="17">
        <f>B69/I69-1</f>
        <v>0</v>
      </c>
    </row>
    <row r="70" spans="1:10">
      <c r="A70" s="6">
        <v>44293</v>
      </c>
      <c r="B70" s="14">
        <v>11375078.03869068</v>
      </c>
      <c r="D70" s="17">
        <f>B70/B69-1</f>
        <v>0</v>
      </c>
      <c r="E70" s="14">
        <v>10707301.82480988</v>
      </c>
      <c r="F70" s="17">
        <f>E70/E69-1</f>
        <v>0</v>
      </c>
      <c r="G70" s="14">
        <v>11488652.08684611</v>
      </c>
      <c r="H70" s="17">
        <f>G70/G69-1</f>
        <v>0</v>
      </c>
      <c r="I70" s="14">
        <f>MAX(I69,B70)</f>
        <v>0</v>
      </c>
      <c r="J70" s="17">
        <f>B70/I70-1</f>
        <v>0</v>
      </c>
    </row>
    <row r="71" spans="1:10">
      <c r="A71" s="6">
        <v>44294</v>
      </c>
      <c r="B71" s="14">
        <v>11506819.60375969</v>
      </c>
      <c r="D71" s="17">
        <f>B71/B70-1</f>
        <v>0</v>
      </c>
      <c r="E71" s="14">
        <v>10759584.50437008</v>
      </c>
      <c r="F71" s="17">
        <f>E71/E70-1</f>
        <v>0</v>
      </c>
      <c r="G71" s="14">
        <v>11582578.28723149</v>
      </c>
      <c r="H71" s="17">
        <f>G71/G70-1</f>
        <v>0</v>
      </c>
      <c r="I71" s="14">
        <f>MAX(I70,B71)</f>
        <v>0</v>
      </c>
      <c r="J71" s="17">
        <f>B71/I71-1</f>
        <v>0</v>
      </c>
    </row>
    <row r="72" spans="1:10">
      <c r="A72" s="6">
        <v>44295</v>
      </c>
      <c r="B72" s="14">
        <v>11523155.51635524</v>
      </c>
      <c r="D72" s="17">
        <f>B72/B71-1</f>
        <v>0</v>
      </c>
      <c r="E72" s="14">
        <v>10747871.67392248</v>
      </c>
      <c r="F72" s="17">
        <f>E72/E71-1</f>
        <v>0</v>
      </c>
      <c r="G72" s="14">
        <v>11632669.63638777</v>
      </c>
      <c r="H72" s="17">
        <f>G72/G71-1</f>
        <v>0</v>
      </c>
      <c r="I72" s="14">
        <f>MAX(I71,B72)</f>
        <v>0</v>
      </c>
      <c r="J72" s="17">
        <f>B72/I72-1</f>
        <v>0</v>
      </c>
    </row>
    <row r="73" spans="1:10">
      <c r="A73" s="6">
        <v>44298</v>
      </c>
      <c r="B73" s="14">
        <v>11007547.47288854</v>
      </c>
      <c r="D73" s="17">
        <f>B73/B72-1</f>
        <v>0</v>
      </c>
      <c r="E73" s="14">
        <v>10316577.03373305</v>
      </c>
      <c r="F73" s="17">
        <f>E73/E72-1</f>
        <v>0</v>
      </c>
      <c r="G73" s="14">
        <v>11071363.62801084</v>
      </c>
      <c r="H73" s="17">
        <f>G73/G72-1</f>
        <v>0</v>
      </c>
      <c r="I73" s="14">
        <f>MAX(I72,B73)</f>
        <v>0</v>
      </c>
      <c r="J73" s="17">
        <f>B73/I73-1</f>
        <v>0</v>
      </c>
    </row>
    <row r="74" spans="1:10">
      <c r="A74" s="6">
        <v>44299</v>
      </c>
      <c r="B74" s="14">
        <v>11035600.11852339</v>
      </c>
      <c r="D74" s="17">
        <f>B74/B73-1</f>
        <v>0</v>
      </c>
      <c r="E74" s="14">
        <v>10456578.24392152</v>
      </c>
      <c r="F74" s="17">
        <f>E74/E73-1</f>
        <v>0</v>
      </c>
      <c r="G74" s="14">
        <v>11238334.64591054</v>
      </c>
      <c r="H74" s="17">
        <f>G74/G73-1</f>
        <v>0</v>
      </c>
      <c r="I74" s="14">
        <f>MAX(I73,B74)</f>
        <v>0</v>
      </c>
      <c r="J74" s="17">
        <f>B74/I74-1</f>
        <v>0</v>
      </c>
    </row>
    <row r="75" spans="1:10">
      <c r="A75" s="6">
        <v>44301</v>
      </c>
      <c r="B75" s="14">
        <v>11004640.47596934</v>
      </c>
      <c r="D75" s="17">
        <f>B75/B74-1</f>
        <v>0</v>
      </c>
      <c r="E75" s="14">
        <v>10500749.5001855</v>
      </c>
      <c r="F75" s="17">
        <f>E75/E74-1</f>
        <v>0</v>
      </c>
      <c r="G75" s="14">
        <v>11230591.66169572</v>
      </c>
      <c r="H75" s="17">
        <f>G75/G74-1</f>
        <v>0</v>
      </c>
      <c r="I75" s="14">
        <f>MAX(I74,B75)</f>
        <v>0</v>
      </c>
      <c r="J75" s="17">
        <f>B75/I75-1</f>
        <v>0</v>
      </c>
    </row>
    <row r="76" spans="1:10">
      <c r="A76" s="6">
        <v>44302</v>
      </c>
      <c r="B76" s="14">
        <v>11115853.94412254</v>
      </c>
      <c r="D76" s="17">
        <f>B76/B75-1</f>
        <v>0</v>
      </c>
      <c r="E76" s="14">
        <v>10553120.19503104</v>
      </c>
      <c r="F76" s="17">
        <f>E76/E75-1</f>
        <v>0</v>
      </c>
      <c r="G76" s="14">
        <v>11342728.34971819</v>
      </c>
      <c r="H76" s="17">
        <f>G76/G75-1</f>
        <v>0</v>
      </c>
      <c r="I76" s="14">
        <f>MAX(I75,B76)</f>
        <v>0</v>
      </c>
      <c r="J76" s="17">
        <f>B76/I76-1</f>
        <v>0</v>
      </c>
    </row>
    <row r="77" spans="1:10">
      <c r="A77" s="6">
        <v>44305</v>
      </c>
      <c r="B77" s="14">
        <v>11065650.44851872</v>
      </c>
      <c r="D77" s="17">
        <f>B77/B76-1</f>
        <v>0</v>
      </c>
      <c r="E77" s="14">
        <v>10363465.15079866</v>
      </c>
      <c r="F77" s="17">
        <f>E77/E76-1</f>
        <v>0</v>
      </c>
      <c r="G77" s="14">
        <v>11113388.28803936</v>
      </c>
      <c r="H77" s="17">
        <f>G77/G76-1</f>
        <v>0</v>
      </c>
      <c r="I77" s="14">
        <f>MAX(I76,B77)</f>
        <v>0</v>
      </c>
      <c r="J77" s="17">
        <f>B77/I77-1</f>
        <v>0</v>
      </c>
    </row>
    <row r="78" spans="1:10">
      <c r="A78" s="6">
        <v>44306</v>
      </c>
      <c r="B78" s="14">
        <v>11033291.67818984</v>
      </c>
      <c r="D78" s="17">
        <f>B78/B77-1</f>
        <v>0</v>
      </c>
      <c r="E78" s="14">
        <v>10345894.65568233</v>
      </c>
      <c r="F78" s="17">
        <f>E78/E77-1</f>
        <v>0</v>
      </c>
      <c r="G78" s="14">
        <v>11165257.73834791</v>
      </c>
      <c r="H78" s="17">
        <f>G78/G77-1</f>
        <v>0</v>
      </c>
      <c r="I78" s="14">
        <f>MAX(I77,B78)</f>
        <v>0</v>
      </c>
      <c r="J78" s="17">
        <f>B78/I78-1</f>
        <v>0</v>
      </c>
    </row>
    <row r="79" spans="1:10">
      <c r="A79" s="6">
        <v>44308</v>
      </c>
      <c r="B79" s="14">
        <v>11182542.19801967</v>
      </c>
      <c r="D79" s="17">
        <f>B79/B78-1</f>
        <v>0</v>
      </c>
      <c r="E79" s="14">
        <v>10412167.52683333</v>
      </c>
      <c r="F79" s="17">
        <f>E79/E78-1</f>
        <v>0</v>
      </c>
      <c r="G79" s="14">
        <v>11212361.82360369</v>
      </c>
      <c r="H79" s="17">
        <f>G79/G78-1</f>
        <v>0</v>
      </c>
      <c r="I79" s="14">
        <f>MAX(I78,B79)</f>
        <v>0</v>
      </c>
      <c r="J79" s="17">
        <f>B79/I79-1</f>
        <v>0</v>
      </c>
    </row>
    <row r="80" spans="1:10">
      <c r="A80" s="6">
        <v>44309</v>
      </c>
      <c r="B80" s="14">
        <v>11190323.45458561</v>
      </c>
      <c r="D80" s="17">
        <f>B80/B79-1</f>
        <v>0</v>
      </c>
      <c r="E80" s="14">
        <v>10389962.82223447</v>
      </c>
      <c r="F80" s="17">
        <f>E80/E79-1</f>
        <v>0</v>
      </c>
      <c r="G80" s="14">
        <v>11229034.54433005</v>
      </c>
      <c r="H80" s="17">
        <f>G80/G79-1</f>
        <v>0</v>
      </c>
      <c r="I80" s="14">
        <f>MAX(I79,B80)</f>
        <v>0</v>
      </c>
      <c r="J80" s="17">
        <f>B80/I80-1</f>
        <v>0</v>
      </c>
    </row>
    <row r="81" spans="1:10">
      <c r="A81" s="6">
        <v>44312</v>
      </c>
      <c r="B81" s="14">
        <v>11364829.49606023</v>
      </c>
      <c r="D81" s="17">
        <f>B81/B80-1</f>
        <v>0</v>
      </c>
      <c r="E81" s="14">
        <v>10485940.94554556</v>
      </c>
      <c r="F81" s="17">
        <f>E81/E80-1</f>
        <v>0</v>
      </c>
      <c r="G81" s="14">
        <v>11310814.57135169</v>
      </c>
      <c r="H81" s="17">
        <f>G81/G80-1</f>
        <v>0</v>
      </c>
      <c r="I81" s="14">
        <f>MAX(I80,B81)</f>
        <v>0</v>
      </c>
      <c r="J81" s="17">
        <f>B81/I81-1</f>
        <v>0</v>
      </c>
    </row>
    <row r="82" spans="1:10">
      <c r="A82" s="6">
        <v>44313</v>
      </c>
      <c r="B82" s="14">
        <v>11560572.28578789</v>
      </c>
      <c r="D82" s="17">
        <f>B82/B81-1</f>
        <v>0</v>
      </c>
      <c r="E82" s="14">
        <v>10611497.36464949</v>
      </c>
      <c r="F82" s="17">
        <f>E82/E81-1</f>
        <v>0</v>
      </c>
      <c r="G82" s="14">
        <v>11456344.03862224</v>
      </c>
      <c r="H82" s="17">
        <f>G82/G81-1</f>
        <v>0</v>
      </c>
      <c r="I82" s="14">
        <f>MAX(I81,B82)</f>
        <v>0</v>
      </c>
      <c r="J82" s="17">
        <f>B82/I82-1</f>
        <v>0</v>
      </c>
    </row>
    <row r="83" spans="1:10">
      <c r="A83" s="6">
        <v>44314</v>
      </c>
      <c r="B83" s="14">
        <v>11681107.75688129</v>
      </c>
      <c r="D83" s="17">
        <f>B83/B82-1</f>
        <v>0</v>
      </c>
      <c r="E83" s="14">
        <v>10745391.8908061</v>
      </c>
      <c r="F83" s="17">
        <f>E83/E82-1</f>
        <v>0</v>
      </c>
      <c r="G83" s="14">
        <v>11550953.52327741</v>
      </c>
      <c r="H83" s="17">
        <f>G83/G82-1</f>
        <v>0</v>
      </c>
      <c r="I83" s="14">
        <f>MAX(I82,B83)</f>
        <v>0</v>
      </c>
      <c r="J83" s="17">
        <f>B83/I83-1</f>
        <v>0</v>
      </c>
    </row>
    <row r="84" spans="1:10">
      <c r="A84" s="6">
        <v>44315</v>
      </c>
      <c r="B84" s="14">
        <v>11660459.05029894</v>
      </c>
      <c r="D84" s="17">
        <f>B84/B83-1</f>
        <v>0</v>
      </c>
      <c r="E84" s="14">
        <v>10758650.46118092</v>
      </c>
      <c r="F84" s="17">
        <f>E84/E83-1</f>
        <v>0</v>
      </c>
      <c r="G84" s="14">
        <v>11552462.79585224</v>
      </c>
      <c r="H84" s="17">
        <f>G84/G83-1</f>
        <v>0</v>
      </c>
      <c r="I84" s="14">
        <f>MAX(I83,B84)</f>
        <v>0</v>
      </c>
      <c r="J84" s="17">
        <f>B84/I84-1</f>
        <v>0</v>
      </c>
    </row>
    <row r="85" spans="1:10">
      <c r="A85" s="6">
        <v>44316</v>
      </c>
      <c r="B85" s="14">
        <v>11573363.5063595</v>
      </c>
      <c r="D85" s="17">
        <f>B85/B84-1</f>
        <v>0</v>
      </c>
      <c r="E85" s="14">
        <v>10614558.47558053</v>
      </c>
      <c r="F85" s="17">
        <f>E85/E84-1</f>
        <v>0</v>
      </c>
      <c r="G85" s="14">
        <v>11489641.67293285</v>
      </c>
      <c r="H85" s="17">
        <f>G85/G84-1</f>
        <v>0</v>
      </c>
      <c r="I85" s="14">
        <f>MAX(I84,B85)</f>
        <v>0</v>
      </c>
      <c r="J85" s="17">
        <f>B85/I85-1</f>
        <v>0</v>
      </c>
    </row>
    <row r="86" spans="1:10">
      <c r="A86" s="6">
        <v>44319</v>
      </c>
      <c r="B86" s="14">
        <v>11613013.30089821</v>
      </c>
      <c r="D86" s="17">
        <f>B86/B85-1</f>
        <v>0</v>
      </c>
      <c r="E86" s="14">
        <v>10641591.32713724</v>
      </c>
      <c r="F86" s="17">
        <f>E86/E85-1</f>
        <v>0</v>
      </c>
      <c r="G86" s="14">
        <v>11557443.64558042</v>
      </c>
      <c r="H86" s="17">
        <f>G86/G85-1</f>
        <v>0</v>
      </c>
      <c r="I86" s="14">
        <f>MAX(I85,B86)</f>
        <v>0</v>
      </c>
      <c r="J86" s="17">
        <f>B86/I86-1</f>
        <v>0</v>
      </c>
    </row>
    <row r="87" spans="1:10">
      <c r="A87" s="6">
        <v>44320</v>
      </c>
      <c r="B87" s="14">
        <v>11543307.10584782</v>
      </c>
      <c r="D87" s="17">
        <f>B87/B86-1</f>
        <v>0</v>
      </c>
      <c r="E87" s="14">
        <v>10560710.37837896</v>
      </c>
      <c r="F87" s="17">
        <f>E87/E86-1</f>
        <v>0</v>
      </c>
      <c r="G87" s="14">
        <v>11510409.64643981</v>
      </c>
      <c r="H87" s="17">
        <f>G87/G86-1</f>
        <v>0</v>
      </c>
      <c r="I87" s="14">
        <f>MAX(I86,B87)</f>
        <v>0</v>
      </c>
      <c r="J87" s="17">
        <f>B87/I87-1</f>
        <v>0</v>
      </c>
    </row>
    <row r="88" spans="1:10">
      <c r="A88" s="6">
        <v>44321</v>
      </c>
      <c r="B88" s="14">
        <v>11604824.13980605</v>
      </c>
      <c r="D88" s="17">
        <f>B88/B87-1</f>
        <v>0</v>
      </c>
      <c r="E88" s="14">
        <v>10657844.35777089</v>
      </c>
      <c r="F88" s="17">
        <f>E88/E87-1</f>
        <v>0</v>
      </c>
      <c r="G88" s="14">
        <v>11603995.46703402</v>
      </c>
      <c r="H88" s="17">
        <f>G88/G87-1</f>
        <v>0</v>
      </c>
      <c r="I88" s="14">
        <f>MAX(I87,B88)</f>
        <v>0</v>
      </c>
      <c r="J88" s="17">
        <f>B88/I88-1</f>
        <v>0</v>
      </c>
    </row>
    <row r="89" spans="1:10">
      <c r="A89" s="6">
        <v>44322</v>
      </c>
      <c r="B89" s="14">
        <v>11714026.63385401</v>
      </c>
      <c r="D89" s="17">
        <f>B89/B88-1</f>
        <v>0</v>
      </c>
      <c r="E89" s="14">
        <v>10734682.05435307</v>
      </c>
      <c r="F89" s="17">
        <f>E89/E88-1</f>
        <v>0</v>
      </c>
      <c r="G89" s="14">
        <v>11677339.36056246</v>
      </c>
      <c r="H89" s="17">
        <f>G89/G88-1</f>
        <v>0</v>
      </c>
      <c r="I89" s="14">
        <f>MAX(I88,B89)</f>
        <v>0</v>
      </c>
      <c r="J89" s="17">
        <f>B89/I89-1</f>
        <v>0</v>
      </c>
    </row>
    <row r="90" spans="1:10">
      <c r="A90" s="6">
        <v>44323</v>
      </c>
      <c r="B90" s="14">
        <v>11773398.20796443</v>
      </c>
      <c r="D90" s="17">
        <f>B90/B89-1</f>
        <v>0</v>
      </c>
      <c r="E90" s="14">
        <v>10787741.57311914</v>
      </c>
      <c r="F90" s="17">
        <f>E90/E89-1</f>
        <v>0</v>
      </c>
      <c r="G90" s="14">
        <v>11725491.78035415</v>
      </c>
      <c r="H90" s="17">
        <f>G90/G89-1</f>
        <v>0</v>
      </c>
      <c r="I90" s="14">
        <f>MAX(I89,B90)</f>
        <v>0</v>
      </c>
      <c r="J90" s="17">
        <f>B90/I90-1</f>
        <v>0</v>
      </c>
    </row>
    <row r="91" spans="1:10">
      <c r="A91" s="6">
        <v>44326</v>
      </c>
      <c r="B91" s="14">
        <v>11737133.03497665</v>
      </c>
      <c r="D91" s="17">
        <f>B91/B90-1</f>
        <v>0</v>
      </c>
      <c r="E91" s="14">
        <v>10879963.47321518</v>
      </c>
      <c r="F91" s="17">
        <f>E91/E90-1</f>
        <v>0</v>
      </c>
      <c r="G91" s="14">
        <v>11867216.04048248</v>
      </c>
      <c r="H91" s="17">
        <f>G91/G90-1</f>
        <v>0</v>
      </c>
      <c r="I91" s="14">
        <f>MAX(I90,B91)</f>
        <v>0</v>
      </c>
      <c r="J91" s="17">
        <f>B91/I91-1</f>
        <v>0</v>
      </c>
    </row>
    <row r="92" spans="1:10">
      <c r="A92" s="6">
        <v>44327</v>
      </c>
      <c r="B92" s="14">
        <v>11659182.38854511</v>
      </c>
      <c r="D92" s="17">
        <f>B92/B91-1</f>
        <v>0</v>
      </c>
      <c r="E92" s="14">
        <v>10856737.47790933</v>
      </c>
      <c r="F92" s="17">
        <f>E92/E91-1</f>
        <v>0</v>
      </c>
      <c r="G92" s="14">
        <v>11959634.05178553</v>
      </c>
      <c r="H92" s="17">
        <f>G92/G91-1</f>
        <v>0</v>
      </c>
      <c r="I92" s="14">
        <f>MAX(I91,B92)</f>
        <v>0</v>
      </c>
      <c r="J92" s="17">
        <f>B92/I92-1</f>
        <v>0</v>
      </c>
    </row>
    <row r="93" spans="1:10">
      <c r="A93" s="6">
        <v>44328</v>
      </c>
      <c r="B93" s="14">
        <v>11495342.3146897</v>
      </c>
      <c r="D93" s="17">
        <f>B93/B92-1</f>
        <v>0</v>
      </c>
      <c r="E93" s="14">
        <v>10767685.31446683</v>
      </c>
      <c r="F93" s="17">
        <f>E93/E92-1</f>
        <v>0</v>
      </c>
      <c r="G93" s="14">
        <v>11936802.33211589</v>
      </c>
      <c r="H93" s="17">
        <f>G93/G92-1</f>
        <v>0</v>
      </c>
      <c r="I93" s="14">
        <f>MAX(I92,B93)</f>
        <v>0</v>
      </c>
      <c r="J93" s="17">
        <f>B93/I93-1</f>
        <v>0</v>
      </c>
    </row>
    <row r="94" spans="1:10">
      <c r="A94" s="6">
        <v>44330</v>
      </c>
      <c r="B94" s="14">
        <v>11369367.88966973</v>
      </c>
      <c r="D94" s="17">
        <f>B94/B93-1</f>
        <v>0</v>
      </c>
      <c r="E94" s="14">
        <v>10711688.69744818</v>
      </c>
      <c r="F94" s="17">
        <f>E94/E93-1</f>
        <v>0</v>
      </c>
      <c r="G94" s="14">
        <v>11826508.74080431</v>
      </c>
      <c r="H94" s="17">
        <f>G94/G93-1</f>
        <v>0</v>
      </c>
      <c r="I94" s="14">
        <f>MAX(I93,B94)</f>
        <v>0</v>
      </c>
      <c r="J94" s="17">
        <f>B94/I94-1</f>
        <v>0</v>
      </c>
    </row>
    <row r="95" spans="1:10">
      <c r="A95" s="6">
        <v>44333</v>
      </c>
      <c r="B95" s="14">
        <v>11521557.42176671</v>
      </c>
      <c r="D95" s="17">
        <f>B95/B94-1</f>
        <v>0</v>
      </c>
      <c r="E95" s="14">
        <v>10883924.88117793</v>
      </c>
      <c r="F95" s="17">
        <f>E95/E94-1</f>
        <v>0</v>
      </c>
      <c r="G95" s="14">
        <v>11969936.14570948</v>
      </c>
      <c r="H95" s="17">
        <f>G95/G94-1</f>
        <v>0</v>
      </c>
      <c r="I95" s="14">
        <f>MAX(I94,B95)</f>
        <v>0</v>
      </c>
      <c r="J95" s="17">
        <f>B95/I95-1</f>
        <v>0</v>
      </c>
    </row>
    <row r="96" spans="1:10">
      <c r="A96" s="6">
        <v>44334</v>
      </c>
      <c r="B96" s="14">
        <v>11674395.77507574</v>
      </c>
      <c r="D96" s="17">
        <f>B96/B95-1</f>
        <v>0</v>
      </c>
      <c r="E96" s="14">
        <v>11027877.59890085</v>
      </c>
      <c r="F96" s="17">
        <f>E96/E95-1</f>
        <v>0</v>
      </c>
      <c r="G96" s="14">
        <v>12126981.65886731</v>
      </c>
      <c r="H96" s="17">
        <f>G96/G95-1</f>
        <v>0</v>
      </c>
      <c r="I96" s="14">
        <f>MAX(I95,B96)</f>
        <v>0</v>
      </c>
      <c r="J96" s="17">
        <f>B96/I96-1</f>
        <v>0</v>
      </c>
    </row>
    <row r="97" spans="1:10">
      <c r="A97" s="6">
        <v>44335</v>
      </c>
      <c r="B97" s="14">
        <v>11779812.50935317</v>
      </c>
      <c r="D97" s="17">
        <f>B97/B96-1</f>
        <v>0</v>
      </c>
      <c r="E97" s="14">
        <v>11002549.30242848</v>
      </c>
      <c r="F97" s="17">
        <f>E97/E96-1</f>
        <v>0</v>
      </c>
      <c r="G97" s="14">
        <v>12180755.86872908</v>
      </c>
      <c r="H97" s="17">
        <f>G97/G96-1</f>
        <v>0</v>
      </c>
      <c r="I97" s="14">
        <f>MAX(I96,B97)</f>
        <v>0</v>
      </c>
      <c r="J97" s="17">
        <f>B97/I97-1</f>
        <v>0</v>
      </c>
    </row>
    <row r="98" spans="1:10">
      <c r="A98" s="6">
        <v>44336</v>
      </c>
      <c r="B98" s="14">
        <v>11747313.56233931</v>
      </c>
      <c r="D98" s="17">
        <f>B98/B97-1</f>
        <v>0</v>
      </c>
      <c r="E98" s="14">
        <v>10940755.11304506</v>
      </c>
      <c r="F98" s="17">
        <f>E98/E97-1</f>
        <v>0</v>
      </c>
      <c r="G98" s="14">
        <v>12161593.53239495</v>
      </c>
      <c r="H98" s="17">
        <f>G98/G97-1</f>
        <v>0</v>
      </c>
      <c r="I98" s="14">
        <f>MAX(I97,B98)</f>
        <v>0</v>
      </c>
      <c r="J98" s="17">
        <f>B98/I98-1</f>
        <v>0</v>
      </c>
    </row>
    <row r="99" spans="1:10">
      <c r="A99" s="6">
        <v>44337</v>
      </c>
      <c r="B99" s="14">
        <v>11919832.34271597</v>
      </c>
      <c r="D99" s="17">
        <f>B99/B98-1</f>
        <v>0</v>
      </c>
      <c r="E99" s="14">
        <v>11097100.25461904</v>
      </c>
      <c r="F99" s="17">
        <f>E99/E98-1</f>
        <v>0</v>
      </c>
      <c r="G99" s="14">
        <v>12232885.60275702</v>
      </c>
      <c r="H99" s="17">
        <f>G99/G98-1</f>
        <v>0</v>
      </c>
      <c r="I99" s="14">
        <f>MAX(I98,B99)</f>
        <v>0</v>
      </c>
      <c r="J99" s="17">
        <f>B99/I99-1</f>
        <v>0</v>
      </c>
    </row>
    <row r="100" spans="1:10">
      <c r="A100" s="6">
        <v>44340</v>
      </c>
      <c r="B100" s="14">
        <v>11910878.80290251</v>
      </c>
      <c r="D100" s="17">
        <f>B100/B99-1</f>
        <v>0</v>
      </c>
      <c r="E100" s="14">
        <v>11135942.89571035</v>
      </c>
      <c r="F100" s="17">
        <f>E100/E99-1</f>
        <v>0</v>
      </c>
      <c r="G100" s="14">
        <v>12298649.63175694</v>
      </c>
      <c r="H100" s="17">
        <f>G100/G99-1</f>
        <v>0</v>
      </c>
      <c r="I100" s="14">
        <f>MAX(I99,B100)</f>
        <v>0</v>
      </c>
      <c r="J100" s="17">
        <f>B100/I100-1</f>
        <v>0</v>
      </c>
    </row>
    <row r="101" spans="1:10">
      <c r="A101" s="6">
        <v>44341</v>
      </c>
      <c r="B101" s="14">
        <v>11827263.36360963</v>
      </c>
      <c r="D101" s="17">
        <f>B101/B100-1</f>
        <v>0</v>
      </c>
      <c r="E101" s="14">
        <v>11136945.51175288</v>
      </c>
      <c r="F101" s="17">
        <f>E101/E100-1</f>
        <v>0</v>
      </c>
      <c r="G101" s="14">
        <v>12292068.90140751</v>
      </c>
      <c r="H101" s="17">
        <f>G101/G100-1</f>
        <v>0</v>
      </c>
      <c r="I101" s="14">
        <f>MAX(I100,B101)</f>
        <v>0</v>
      </c>
      <c r="J101" s="17">
        <f>B101/I101-1</f>
        <v>0</v>
      </c>
    </row>
    <row r="102" spans="1:10">
      <c r="A102" s="6">
        <v>44342</v>
      </c>
      <c r="B102" s="14">
        <v>11765879.03773154</v>
      </c>
      <c r="D102" s="17">
        <f>B102/B101-1</f>
        <v>0</v>
      </c>
      <c r="E102" s="14">
        <v>11188336.7041347</v>
      </c>
      <c r="F102" s="17">
        <f>E102/E101-1</f>
        <v>0</v>
      </c>
      <c r="G102" s="14">
        <v>12332049.23906003</v>
      </c>
      <c r="H102" s="17">
        <f>G102/G101-1</f>
        <v>0</v>
      </c>
      <c r="I102" s="14">
        <f>MAX(I101,B102)</f>
        <v>0</v>
      </c>
      <c r="J102" s="17">
        <f>B102/I102-1</f>
        <v>0</v>
      </c>
    </row>
    <row r="103" spans="1:10">
      <c r="A103" s="6">
        <v>44343</v>
      </c>
      <c r="B103" s="14">
        <v>11905994.37107587</v>
      </c>
      <c r="D103" s="17">
        <f>B103/B102-1</f>
        <v>0</v>
      </c>
      <c r="E103" s="14">
        <v>11226715.93192043</v>
      </c>
      <c r="F103" s="17">
        <f>E103/E102-1</f>
        <v>0</v>
      </c>
      <c r="G103" s="14">
        <v>12390277.32936812</v>
      </c>
      <c r="H103" s="17">
        <f>G103/G102-1</f>
        <v>0</v>
      </c>
      <c r="I103" s="14">
        <f>MAX(I102,B103)</f>
        <v>0</v>
      </c>
      <c r="J103" s="17">
        <f>B103/I103-1</f>
        <v>0</v>
      </c>
    </row>
    <row r="104" spans="1:10">
      <c r="A104" s="6">
        <v>44344</v>
      </c>
      <c r="B104" s="14">
        <v>11978511.85263362</v>
      </c>
      <c r="D104" s="17">
        <f>B104/B103-1</f>
        <v>0</v>
      </c>
      <c r="E104" s="14">
        <v>11270898.48360945</v>
      </c>
      <c r="F104" s="17">
        <f>E104/E103-1</f>
        <v>0</v>
      </c>
      <c r="G104" s="14">
        <v>12374775.75549376</v>
      </c>
      <c r="H104" s="17">
        <f>G104/G103-1</f>
        <v>0</v>
      </c>
      <c r="I104" s="14">
        <f>MAX(I103,B104)</f>
        <v>0</v>
      </c>
      <c r="J104" s="17">
        <f>B104/I104-1</f>
        <v>0</v>
      </c>
    </row>
    <row r="105" spans="1:10">
      <c r="A105" s="6">
        <v>44347</v>
      </c>
      <c r="B105" s="14">
        <v>12057597.41715683</v>
      </c>
      <c r="D105" s="17">
        <f>B105/B104-1</f>
        <v>0</v>
      </c>
      <c r="E105" s="14">
        <v>11365351.66217981</v>
      </c>
      <c r="F105" s="17">
        <f>E105/E104-1</f>
        <v>0</v>
      </c>
      <c r="G105" s="14">
        <v>12453252.22461912</v>
      </c>
      <c r="H105" s="17">
        <f>G105/G104-1</f>
        <v>0</v>
      </c>
      <c r="I105" s="14">
        <f>MAX(I104,B105)</f>
        <v>0</v>
      </c>
      <c r="J105" s="17">
        <f>B105/I105-1</f>
        <v>0</v>
      </c>
    </row>
    <row r="106" spans="1:10">
      <c r="A106" s="6">
        <v>44348</v>
      </c>
      <c r="B106" s="14">
        <v>11948946.40139081</v>
      </c>
      <c r="D106" s="17">
        <f>B106/B105-1</f>
        <v>0</v>
      </c>
      <c r="E106" s="14">
        <v>11352187.76669515</v>
      </c>
      <c r="F106" s="17">
        <f>E106/E105-1</f>
        <v>0</v>
      </c>
      <c r="G106" s="14">
        <v>12420761.3196957</v>
      </c>
      <c r="H106" s="17">
        <f>G106/G105-1</f>
        <v>0</v>
      </c>
      <c r="I106" s="14">
        <f>MAX(I105,B106)</f>
        <v>0</v>
      </c>
      <c r="J106" s="17">
        <f>B106/I106-1</f>
        <v>0</v>
      </c>
    </row>
    <row r="107" spans="1:10">
      <c r="A107" s="6">
        <v>44349</v>
      </c>
      <c r="B107" s="14">
        <v>11967723.52800636</v>
      </c>
      <c r="D107" s="17">
        <f>B107/B106-1</f>
        <v>0</v>
      </c>
      <c r="E107" s="14">
        <v>11407596.68814643</v>
      </c>
      <c r="F107" s="17">
        <f>E107/E106-1</f>
        <v>0</v>
      </c>
      <c r="G107" s="14">
        <v>12572737.97199878</v>
      </c>
      <c r="H107" s="17">
        <f>G107/G106-1</f>
        <v>0</v>
      </c>
      <c r="I107" s="14">
        <f>MAX(I106,B107)</f>
        <v>0</v>
      </c>
      <c r="J107" s="17">
        <f>B107/I107-1</f>
        <v>0</v>
      </c>
    </row>
    <row r="108" spans="1:10">
      <c r="A108" s="6">
        <v>44350</v>
      </c>
      <c r="B108" s="14">
        <v>11990463.23017475</v>
      </c>
      <c r="D108" s="17">
        <f>B108/B107-1</f>
        <v>0</v>
      </c>
      <c r="E108" s="14">
        <v>11499448.80570222</v>
      </c>
      <c r="F108" s="17">
        <f>E108/E107-1</f>
        <v>0</v>
      </c>
      <c r="G108" s="14">
        <v>12691737.66187638</v>
      </c>
      <c r="H108" s="17">
        <f>G108/G107-1</f>
        <v>0</v>
      </c>
      <c r="I108" s="14">
        <f>MAX(I107,B108)</f>
        <v>0</v>
      </c>
      <c r="J108" s="17">
        <f>B108/I108-1</f>
        <v>0</v>
      </c>
    </row>
    <row r="109" spans="1:10">
      <c r="A109" s="6">
        <v>44351</v>
      </c>
      <c r="B109" s="14">
        <v>11954435.46000689</v>
      </c>
      <c r="D109" s="17">
        <f>B109/B108-1</f>
        <v>0</v>
      </c>
      <c r="E109" s="14">
        <v>11511512.94167865</v>
      </c>
      <c r="F109" s="17">
        <f>E109/E108-1</f>
        <v>0</v>
      </c>
      <c r="G109" s="14">
        <v>12756145.2521733</v>
      </c>
      <c r="H109" s="17">
        <f>G109/G108-1</f>
        <v>0</v>
      </c>
      <c r="I109" s="14">
        <f>MAX(I108,B109)</f>
        <v>0</v>
      </c>
      <c r="J109" s="17">
        <f>B109/I109-1</f>
        <v>0</v>
      </c>
    </row>
    <row r="110" spans="1:10">
      <c r="A110" s="6">
        <v>44354</v>
      </c>
      <c r="B110" s="14">
        <v>12092390.50946322</v>
      </c>
      <c r="D110" s="17">
        <f>B110/B109-1</f>
        <v>0</v>
      </c>
      <c r="E110" s="14">
        <v>11585759.74833925</v>
      </c>
      <c r="F110" s="17">
        <f>E110/E109-1</f>
        <v>0</v>
      </c>
      <c r="G110" s="14">
        <v>12900329.42922113</v>
      </c>
      <c r="H110" s="17">
        <f>G110/G109-1</f>
        <v>0</v>
      </c>
      <c r="I110" s="14">
        <f>MAX(I109,B110)</f>
        <v>0</v>
      </c>
      <c r="J110" s="17">
        <f>B110/I110-1</f>
        <v>0</v>
      </c>
    </row>
    <row r="111" spans="1:10">
      <c r="A111" s="6">
        <v>44355</v>
      </c>
      <c r="B111" s="14">
        <v>12122382.10494831</v>
      </c>
      <c r="D111" s="17">
        <f>B111/B110-1</f>
        <v>0</v>
      </c>
      <c r="E111" s="14">
        <v>11600836.497869</v>
      </c>
      <c r="F111" s="17">
        <f>E111/E110-1</f>
        <v>0</v>
      </c>
      <c r="G111" s="14">
        <v>12964410.74534891</v>
      </c>
      <c r="H111" s="17">
        <f>G111/G110-1</f>
        <v>0</v>
      </c>
      <c r="I111" s="14">
        <f>MAX(I110,B111)</f>
        <v>0</v>
      </c>
      <c r="J111" s="17">
        <f>B111/I111-1</f>
        <v>0</v>
      </c>
    </row>
    <row r="112" spans="1:10">
      <c r="A112" s="6">
        <v>44356</v>
      </c>
      <c r="B112" s="14">
        <v>11975657.66258788</v>
      </c>
      <c r="D112" s="17">
        <f>B112/B111-1</f>
        <v>0</v>
      </c>
      <c r="E112" s="14">
        <v>11515306.40166254</v>
      </c>
      <c r="F112" s="17">
        <f>E112/E111-1</f>
        <v>0</v>
      </c>
      <c r="G112" s="14">
        <v>12841681.7049535</v>
      </c>
      <c r="H112" s="17">
        <f>G112/G111-1</f>
        <v>0</v>
      </c>
      <c r="I112" s="14">
        <f>MAX(I111,B112)</f>
        <v>0</v>
      </c>
      <c r="J112" s="17">
        <f>B112/I112-1</f>
        <v>0</v>
      </c>
    </row>
    <row r="113" spans="1:10">
      <c r="A113" s="6">
        <v>44357</v>
      </c>
      <c r="B113" s="14">
        <v>12006622.02547017</v>
      </c>
      <c r="D113" s="17">
        <f>B113/B112-1</f>
        <v>0</v>
      </c>
      <c r="E113" s="14">
        <v>11619692.10317964</v>
      </c>
      <c r="F113" s="17">
        <f>E113/E112-1</f>
        <v>0</v>
      </c>
      <c r="G113" s="14">
        <v>13019275.41124975</v>
      </c>
      <c r="H113" s="17">
        <f>G113/G112-1</f>
        <v>0</v>
      </c>
      <c r="I113" s="14">
        <f>MAX(I112,B113)</f>
        <v>0</v>
      </c>
      <c r="J113" s="17">
        <f>B113/I113-1</f>
        <v>0</v>
      </c>
    </row>
    <row r="114" spans="1:10">
      <c r="A114" s="6">
        <v>44358</v>
      </c>
      <c r="B114" s="14">
        <v>12060866.69121344</v>
      </c>
      <c r="D114" s="17">
        <f>B114/B113-1</f>
        <v>0</v>
      </c>
      <c r="E114" s="14">
        <v>11660346.31703423</v>
      </c>
      <c r="F114" s="17">
        <f>E114/E113-1</f>
        <v>0</v>
      </c>
      <c r="G114" s="14">
        <v>13070374.70561763</v>
      </c>
      <c r="H114" s="17">
        <f>G114/G113-1</f>
        <v>0</v>
      </c>
      <c r="I114" s="14">
        <f>MAX(I113,B114)</f>
        <v>0</v>
      </c>
      <c r="J114" s="17">
        <f>B114/I114-1</f>
        <v>0</v>
      </c>
    </row>
    <row r="115" spans="1:10">
      <c r="A115" s="6">
        <v>44361</v>
      </c>
      <c r="B115" s="14">
        <v>12040842.26940079</v>
      </c>
      <c r="D115" s="17">
        <f>B115/B114-1</f>
        <v>0</v>
      </c>
      <c r="E115" s="14">
        <v>11652563.50736269</v>
      </c>
      <c r="F115" s="17">
        <f>E115/E114-1</f>
        <v>0</v>
      </c>
      <c r="G115" s="14">
        <v>13050777.55847972</v>
      </c>
      <c r="H115" s="17">
        <f>G115/G114-1</f>
        <v>0</v>
      </c>
      <c r="I115" s="14">
        <f>MAX(I114,B115)</f>
        <v>0</v>
      </c>
      <c r="J115" s="17">
        <f>B115/I115-1</f>
        <v>0</v>
      </c>
    </row>
    <row r="116" spans="1:10">
      <c r="A116" s="6">
        <v>44362</v>
      </c>
      <c r="B116" s="14">
        <v>12144992.16229593</v>
      </c>
      <c r="D116" s="17">
        <f>B116/B115-1</f>
        <v>0</v>
      </c>
      <c r="E116" s="14">
        <v>11699241.03174674</v>
      </c>
      <c r="F116" s="17">
        <f>E116/E115-1</f>
        <v>0</v>
      </c>
      <c r="G116" s="14">
        <v>13117613.68714094</v>
      </c>
      <c r="H116" s="17">
        <f>G116/G115-1</f>
        <v>0</v>
      </c>
      <c r="I116" s="14">
        <f>MAX(I115,B116)</f>
        <v>0</v>
      </c>
      <c r="J116" s="17">
        <f>B116/I116-1</f>
        <v>0</v>
      </c>
    </row>
    <row r="117" spans="1:10">
      <c r="A117" s="6">
        <v>44363</v>
      </c>
      <c r="B117" s="14">
        <v>12088315.23274002</v>
      </c>
      <c r="D117" s="17">
        <f>B117/B116-1</f>
        <v>0</v>
      </c>
      <c r="E117" s="14">
        <v>11616230.73376703</v>
      </c>
      <c r="F117" s="17">
        <f>E117/E116-1</f>
        <v>0</v>
      </c>
      <c r="G117" s="14">
        <v>13029035.46245288</v>
      </c>
      <c r="H117" s="17">
        <f>G117/G116-1</f>
        <v>0</v>
      </c>
      <c r="I117" s="14">
        <f>MAX(I116,B117)</f>
        <v>0</v>
      </c>
      <c r="J117" s="17">
        <f>B117/I117-1</f>
        <v>0</v>
      </c>
    </row>
    <row r="118" spans="1:10">
      <c r="A118" s="6">
        <v>44364</v>
      </c>
      <c r="B118" s="14">
        <v>12004660.84878494</v>
      </c>
      <c r="D118" s="17">
        <f>B118/B117-1</f>
        <v>0</v>
      </c>
      <c r="E118" s="14">
        <v>11543315.80553382</v>
      </c>
      <c r="F118" s="17">
        <f>E118/E117-1</f>
        <v>0</v>
      </c>
      <c r="G118" s="14">
        <v>12919479.68065798</v>
      </c>
      <c r="H118" s="17">
        <f>G118/G117-1</f>
        <v>0</v>
      </c>
      <c r="I118" s="14">
        <f>MAX(I117,B118)</f>
        <v>0</v>
      </c>
      <c r="J118" s="17">
        <f>B118/I118-1</f>
        <v>0</v>
      </c>
    </row>
    <row r="119" spans="1:10">
      <c r="A119" s="6">
        <v>44365</v>
      </c>
      <c r="B119" s="14">
        <v>11983687.28140566</v>
      </c>
      <c r="D119" s="17">
        <f>B119/B118-1</f>
        <v>0</v>
      </c>
      <c r="E119" s="14">
        <v>11510675.6352975</v>
      </c>
      <c r="F119" s="17">
        <f>E119/E118-1</f>
        <v>0</v>
      </c>
      <c r="G119" s="14">
        <v>12831478.62464156</v>
      </c>
      <c r="H119" s="17">
        <f>G119/G118-1</f>
        <v>0</v>
      </c>
      <c r="I119" s="14">
        <f>MAX(I118,B119)</f>
        <v>0</v>
      </c>
      <c r="J119" s="17">
        <f>B119/I119-1</f>
        <v>0</v>
      </c>
    </row>
    <row r="120" spans="1:10">
      <c r="A120" s="6">
        <v>44368</v>
      </c>
      <c r="B120" s="14">
        <v>12132242.22385605</v>
      </c>
      <c r="D120" s="17">
        <f>B120/B119-1</f>
        <v>0</v>
      </c>
      <c r="E120" s="14">
        <v>11571027.46522627</v>
      </c>
      <c r="F120" s="17">
        <f>E120/E119-1</f>
        <v>0</v>
      </c>
      <c r="G120" s="14">
        <v>12926137.10662682</v>
      </c>
      <c r="H120" s="17">
        <f>G120/G119-1</f>
        <v>0</v>
      </c>
      <c r="I120" s="14">
        <f>MAX(I119,B120)</f>
        <v>0</v>
      </c>
      <c r="J120" s="17">
        <f>B120/I120-1</f>
        <v>0</v>
      </c>
    </row>
    <row r="121" spans="1:10">
      <c r="A121" s="6">
        <v>44369</v>
      </c>
      <c r="B121" s="14">
        <v>12174367.24519004</v>
      </c>
      <c r="D121" s="17">
        <f>B121/B120-1</f>
        <v>0</v>
      </c>
      <c r="E121" s="14">
        <v>11601675.29793695</v>
      </c>
      <c r="F121" s="17">
        <f>E121/E120-1</f>
        <v>0</v>
      </c>
      <c r="G121" s="14">
        <v>12997663.06833139</v>
      </c>
      <c r="H121" s="17">
        <f>G121/G120-1</f>
        <v>0</v>
      </c>
      <c r="I121" s="14">
        <f>MAX(I120,B121)</f>
        <v>0</v>
      </c>
      <c r="J121" s="17">
        <f>B121/I121-1</f>
        <v>0</v>
      </c>
    </row>
    <row r="122" spans="1:10">
      <c r="A122" s="6">
        <v>44370</v>
      </c>
      <c r="B122" s="14">
        <v>12136623.45377803</v>
      </c>
      <c r="D122" s="17">
        <f>B122/B121-1</f>
        <v>0</v>
      </c>
      <c r="E122" s="14">
        <v>11543966.12512971</v>
      </c>
      <c r="F122" s="17">
        <f>E122/E121-1</f>
        <v>0</v>
      </c>
      <c r="G122" s="14">
        <v>12973361.80521972</v>
      </c>
      <c r="H122" s="17">
        <f>G122/G121-1</f>
        <v>0</v>
      </c>
      <c r="I122" s="14">
        <f>MAX(I121,B122)</f>
        <v>0</v>
      </c>
      <c r="J122" s="17">
        <f>B122/I122-1</f>
        <v>0</v>
      </c>
    </row>
    <row r="123" spans="1:10">
      <c r="A123" s="6">
        <v>44371</v>
      </c>
      <c r="B123" s="14">
        <v>12163917.0761507</v>
      </c>
      <c r="D123" s="17">
        <f>B123/B122-1</f>
        <v>0</v>
      </c>
      <c r="E123" s="14">
        <v>11583129.7906132</v>
      </c>
      <c r="F123" s="17">
        <f>E123/E122-1</f>
        <v>0</v>
      </c>
      <c r="G123" s="14">
        <v>12945251.00129645</v>
      </c>
      <c r="H123" s="17">
        <f>G123/G122-1</f>
        <v>0</v>
      </c>
      <c r="I123" s="14">
        <f>MAX(I122,B123)</f>
        <v>0</v>
      </c>
      <c r="J123" s="17">
        <f>B123/I123-1</f>
        <v>0</v>
      </c>
    </row>
    <row r="124" spans="1:10">
      <c r="A124" s="6">
        <v>44372</v>
      </c>
      <c r="B124" s="14">
        <v>12288073.50026395</v>
      </c>
      <c r="D124" s="17">
        <f>B124/B123-1</f>
        <v>0</v>
      </c>
      <c r="E124" s="14">
        <v>11644873.00108194</v>
      </c>
      <c r="F124" s="17">
        <f>E124/E123-1</f>
        <v>0</v>
      </c>
      <c r="G124" s="14">
        <v>13014032.60185635</v>
      </c>
      <c r="H124" s="17">
        <f>G124/G123-1</f>
        <v>0</v>
      </c>
      <c r="I124" s="14">
        <f>MAX(I123,B124)</f>
        <v>0</v>
      </c>
      <c r="J124" s="17">
        <f>B124/I124-1</f>
        <v>0</v>
      </c>
    </row>
    <row r="125" spans="1:10">
      <c r="A125" s="6">
        <v>44375</v>
      </c>
      <c r="B125" s="14">
        <v>12397581.27686794</v>
      </c>
      <c r="D125" s="17">
        <f>B125/B124-1</f>
        <v>0</v>
      </c>
      <c r="E125" s="14">
        <v>11639965.55120936</v>
      </c>
      <c r="F125" s="17">
        <f>E125/E124-1</f>
        <v>0</v>
      </c>
      <c r="G125" s="14">
        <v>13062902.39031078</v>
      </c>
      <c r="H125" s="17">
        <f>G125/G124-1</f>
        <v>0</v>
      </c>
      <c r="I125" s="14">
        <f>MAX(I124,B125)</f>
        <v>0</v>
      </c>
      <c r="J125" s="17">
        <f>B125/I125-1</f>
        <v>0</v>
      </c>
    </row>
    <row r="126" spans="1:10">
      <c r="A126" s="6">
        <v>44376</v>
      </c>
      <c r="B126" s="14">
        <v>12475964.44593758</v>
      </c>
      <c r="D126" s="17">
        <f>B126/B125-1</f>
        <v>0</v>
      </c>
      <c r="E126" s="14">
        <v>11596568.34604839</v>
      </c>
      <c r="F126" s="17">
        <f>E126/E125-1</f>
        <v>0</v>
      </c>
      <c r="G126" s="14">
        <v>13008568.78671676</v>
      </c>
      <c r="H126" s="17">
        <f>G126/G125-1</f>
        <v>0</v>
      </c>
      <c r="I126" s="14">
        <f>MAX(I125,B126)</f>
        <v>0</v>
      </c>
      <c r="J126" s="17">
        <f>B126/I126-1</f>
        <v>0</v>
      </c>
    </row>
    <row r="127" spans="1:10">
      <c r="A127" s="6">
        <v>44377</v>
      </c>
      <c r="B127" s="14">
        <v>12411528.06327113</v>
      </c>
      <c r="D127" s="17">
        <f>B127/B126-1</f>
        <v>0</v>
      </c>
      <c r="E127" s="14">
        <v>11589894.92467109</v>
      </c>
      <c r="F127" s="17">
        <f>E127/E126-1</f>
        <v>0</v>
      </c>
      <c r="G127" s="14">
        <v>13041141.12237706</v>
      </c>
      <c r="H127" s="17">
        <f>G127/G126-1</f>
        <v>0</v>
      </c>
      <c r="I127" s="14">
        <f>MAX(I126,B127)</f>
        <v>0</v>
      </c>
      <c r="J127" s="17">
        <f>B127/I127-1</f>
        <v>0</v>
      </c>
    </row>
    <row r="128" spans="1:10">
      <c r="A128" s="6">
        <v>44378</v>
      </c>
      <c r="B128" s="14">
        <v>12240903.05492</v>
      </c>
      <c r="D128" s="17">
        <f>B128/B127-1</f>
        <v>0</v>
      </c>
      <c r="E128" s="14">
        <v>11573715.84237909</v>
      </c>
      <c r="F128" s="17">
        <f>E128/E127-1</f>
        <v>0</v>
      </c>
      <c r="G128" s="14">
        <v>13043700.70403848</v>
      </c>
      <c r="H128" s="17">
        <f>G128/G127-1</f>
        <v>0</v>
      </c>
      <c r="I128" s="14">
        <f>MAX(I127,B128)</f>
        <v>0</v>
      </c>
      <c r="J128" s="17">
        <f>B128/I128-1</f>
        <v>0</v>
      </c>
    </row>
    <row r="129" spans="1:10">
      <c r="A129" s="6">
        <v>44379</v>
      </c>
      <c r="B129" s="14">
        <v>12384147.41688784</v>
      </c>
      <c r="D129" s="17">
        <f>B129/B128-1</f>
        <v>0</v>
      </c>
      <c r="E129" s="14">
        <v>11608978.04336881</v>
      </c>
      <c r="F129" s="17">
        <f>E129/E128-1</f>
        <v>0</v>
      </c>
      <c r="G129" s="14">
        <v>13098343.82701969</v>
      </c>
      <c r="H129" s="17">
        <f>G129/G128-1</f>
        <v>0</v>
      </c>
      <c r="I129" s="14">
        <f>MAX(I128,B129)</f>
        <v>0</v>
      </c>
      <c r="J129" s="17">
        <f>B129/I129-1</f>
        <v>0</v>
      </c>
    </row>
    <row r="130" spans="1:10">
      <c r="A130" s="6">
        <v>44382</v>
      </c>
      <c r="B130" s="14">
        <v>12408818.55126047</v>
      </c>
      <c r="D130" s="17">
        <f>B130/B129-1</f>
        <v>0</v>
      </c>
      <c r="E130" s="14">
        <v>11688074.06128803</v>
      </c>
      <c r="F130" s="17">
        <f>E130/E129-1</f>
        <v>0</v>
      </c>
      <c r="G130" s="14">
        <v>13195374.75870211</v>
      </c>
      <c r="H130" s="17">
        <f>G130/G129-1</f>
        <v>0</v>
      </c>
      <c r="I130" s="14">
        <f>MAX(I129,B130)</f>
        <v>0</v>
      </c>
      <c r="J130" s="17">
        <f>B130/I130-1</f>
        <v>0</v>
      </c>
    </row>
    <row r="131" spans="1:10">
      <c r="A131" s="6">
        <v>44383</v>
      </c>
      <c r="B131" s="14">
        <v>12524499.46646301</v>
      </c>
      <c r="D131" s="17">
        <f>B131/B130-1</f>
        <v>0</v>
      </c>
      <c r="E131" s="14">
        <v>11678651.2759977</v>
      </c>
      <c r="F131" s="17">
        <f>E131/E130-1</f>
        <v>0</v>
      </c>
      <c r="G131" s="14">
        <v>13194207.41638541</v>
      </c>
      <c r="H131" s="17">
        <f>G131/G130-1</f>
        <v>0</v>
      </c>
      <c r="I131" s="14">
        <f>MAX(I130,B131)</f>
        <v>0</v>
      </c>
      <c r="J131" s="17">
        <f>B131/I131-1</f>
        <v>0</v>
      </c>
    </row>
    <row r="132" spans="1:10">
      <c r="A132" s="6">
        <v>44384</v>
      </c>
      <c r="B132" s="14">
        <v>12584186.16104309</v>
      </c>
      <c r="D132" s="17">
        <f>B132/B131-1</f>
        <v>0</v>
      </c>
      <c r="E132" s="14">
        <v>11728118.51226035</v>
      </c>
      <c r="F132" s="17">
        <f>E132/E131-1</f>
        <v>0</v>
      </c>
      <c r="G132" s="14">
        <v>13242458.52169633</v>
      </c>
      <c r="H132" s="17">
        <f>G132/G131-1</f>
        <v>0</v>
      </c>
      <c r="I132" s="14">
        <f>MAX(I131,B132)</f>
        <v>0</v>
      </c>
      <c r="J132" s="17">
        <f>B132/I132-1</f>
        <v>0</v>
      </c>
    </row>
    <row r="133" spans="1:10">
      <c r="A133" s="6">
        <v>44385</v>
      </c>
      <c r="B133" s="14">
        <v>12590634.78437258</v>
      </c>
      <c r="D133" s="17">
        <f>B133/B132-1</f>
        <v>0</v>
      </c>
      <c r="E133" s="14">
        <v>11644099.79806265</v>
      </c>
      <c r="F133" s="17">
        <f>E133/E132-1</f>
        <v>0</v>
      </c>
      <c r="G133" s="14">
        <v>13199791.15635655</v>
      </c>
      <c r="H133" s="17">
        <f>G133/G132-1</f>
        <v>0</v>
      </c>
      <c r="I133" s="14">
        <f>MAX(I132,B133)</f>
        <v>0</v>
      </c>
      <c r="J133" s="17">
        <f>B133/I133-1</f>
        <v>0</v>
      </c>
    </row>
    <row r="134" spans="1:10">
      <c r="A134" s="6">
        <v>44386</v>
      </c>
      <c r="B134" s="14">
        <v>12701573.10918562</v>
      </c>
      <c r="D134" s="17">
        <f>B134/B133-1</f>
        <v>0</v>
      </c>
      <c r="E134" s="14">
        <v>11640567.18084743</v>
      </c>
      <c r="F134" s="17">
        <f>E134/E133-1</f>
        <v>0</v>
      </c>
      <c r="G134" s="14">
        <v>13247356.88416841</v>
      </c>
      <c r="H134" s="17">
        <f>G134/G133-1</f>
        <v>0</v>
      </c>
      <c r="I134" s="14">
        <f>MAX(I133,B134)</f>
        <v>0</v>
      </c>
      <c r="J134" s="17">
        <f>B134/I134-1</f>
        <v>0</v>
      </c>
    </row>
    <row r="135" spans="1:10">
      <c r="A135" s="6">
        <v>44389</v>
      </c>
      <c r="B135" s="14">
        <v>12807350.86219684</v>
      </c>
      <c r="D135" s="17">
        <f>B135/B134-1</f>
        <v>0</v>
      </c>
      <c r="E135" s="14">
        <v>11659234.48645328</v>
      </c>
      <c r="F135" s="17">
        <f>E135/E134-1</f>
        <v>0</v>
      </c>
      <c r="G135" s="14">
        <v>13334008.60179049</v>
      </c>
      <c r="H135" s="17">
        <f>G135/G134-1</f>
        <v>0</v>
      </c>
      <c r="I135" s="14">
        <f>MAX(I134,B135)</f>
        <v>0</v>
      </c>
      <c r="J135" s="17">
        <f>B135/I135-1</f>
        <v>0</v>
      </c>
    </row>
    <row r="136" spans="1:10">
      <c r="A136" s="6">
        <v>44390</v>
      </c>
      <c r="B136" s="14">
        <v>13019925.69923195</v>
      </c>
      <c r="D136" s="17">
        <f>B136/B135-1</f>
        <v>0</v>
      </c>
      <c r="E136" s="14">
        <v>11728502.16276925</v>
      </c>
      <c r="F136" s="17">
        <f>E136/E135-1</f>
        <v>0</v>
      </c>
      <c r="G136" s="14">
        <v>13403462.49376462</v>
      </c>
      <c r="H136" s="17">
        <f>G136/G135-1</f>
        <v>0</v>
      </c>
      <c r="I136" s="14">
        <f>MAX(I135,B136)</f>
        <v>0</v>
      </c>
      <c r="J136" s="17">
        <f>B136/I136-1</f>
        <v>0</v>
      </c>
    </row>
    <row r="137" spans="1:10">
      <c r="A137" s="6">
        <v>44391</v>
      </c>
      <c r="B137" s="14">
        <v>13228501.03844617</v>
      </c>
      <c r="D137" s="17">
        <f>B137/B136-1</f>
        <v>0</v>
      </c>
      <c r="E137" s="14">
        <v>11756813.86329564</v>
      </c>
      <c r="F137" s="17">
        <f>E137/E136-1</f>
        <v>0</v>
      </c>
      <c r="G137" s="14">
        <v>13421985.18548745</v>
      </c>
      <c r="H137" s="17">
        <f>G137/G136-1</f>
        <v>0</v>
      </c>
      <c r="I137" s="14">
        <f>MAX(I136,B137)</f>
        <v>0</v>
      </c>
      <c r="J137" s="17">
        <f>B137/I137-1</f>
        <v>0</v>
      </c>
    </row>
    <row r="138" spans="1:10">
      <c r="A138" s="6">
        <v>44392</v>
      </c>
      <c r="B138" s="14">
        <v>13380082.23452164</v>
      </c>
      <c r="D138" s="17">
        <f>B138/B137-1</f>
        <v>0</v>
      </c>
      <c r="E138" s="14">
        <v>11808364.57185099</v>
      </c>
      <c r="F138" s="17">
        <f>E138/E137-1</f>
        <v>0</v>
      </c>
      <c r="G138" s="14">
        <v>13478169.11350829</v>
      </c>
      <c r="H138" s="17">
        <f>G138/G137-1</f>
        <v>0</v>
      </c>
      <c r="I138" s="14">
        <f>MAX(I137,B138)</f>
        <v>0</v>
      </c>
      <c r="J138" s="17">
        <f>B138/I138-1</f>
        <v>0</v>
      </c>
    </row>
    <row r="139" spans="1:10">
      <c r="A139" s="6">
        <v>44393</v>
      </c>
      <c r="B139" s="14">
        <v>13353270.64805141</v>
      </c>
      <c r="D139" s="17">
        <f>B139/B138-1</f>
        <v>0</v>
      </c>
      <c r="E139" s="14">
        <v>11827861.08782689</v>
      </c>
      <c r="F139" s="17">
        <f>E139/E138-1</f>
        <v>0</v>
      </c>
      <c r="G139" s="14">
        <v>13537995.30959189</v>
      </c>
      <c r="H139" s="17">
        <f>G139/G138-1</f>
        <v>0</v>
      </c>
      <c r="I139" s="14">
        <f>MAX(I138,B139)</f>
        <v>0</v>
      </c>
      <c r="J139" s="17">
        <f>B139/I139-1</f>
        <v>0</v>
      </c>
    </row>
    <row r="140" spans="1:10">
      <c r="A140" s="6">
        <v>44396</v>
      </c>
      <c r="B140" s="14">
        <v>13466980.51492816</v>
      </c>
      <c r="D140" s="17">
        <f>B140/B139-1</f>
        <v>0</v>
      </c>
      <c r="E140" s="14">
        <v>11722990.16689199</v>
      </c>
      <c r="F140" s="17">
        <f>E140/E139-1</f>
        <v>0</v>
      </c>
      <c r="G140" s="14">
        <v>13477842.38909185</v>
      </c>
      <c r="H140" s="17">
        <f>G140/G139-1</f>
        <v>0</v>
      </c>
      <c r="I140" s="14">
        <f>MAX(I139,B140)</f>
        <v>0</v>
      </c>
      <c r="J140" s="17">
        <f>B140/I140-1</f>
        <v>0</v>
      </c>
    </row>
    <row r="141" spans="1:10">
      <c r="A141" s="6">
        <v>44397</v>
      </c>
      <c r="B141" s="14">
        <v>13481775.77828109</v>
      </c>
      <c r="D141" s="17">
        <f>B141/B140-1</f>
        <v>0</v>
      </c>
      <c r="E141" s="14">
        <v>11616602.91172635</v>
      </c>
      <c r="F141" s="17">
        <f>E141/E140-1</f>
        <v>0</v>
      </c>
      <c r="G141" s="14">
        <v>13308508.95869143</v>
      </c>
      <c r="H141" s="17">
        <f>G141/G140-1</f>
        <v>0</v>
      </c>
      <c r="I141" s="14">
        <f>MAX(I140,B141)</f>
        <v>0</v>
      </c>
      <c r="J141" s="17">
        <f>B141/I141-1</f>
        <v>0</v>
      </c>
    </row>
    <row r="142" spans="1:10">
      <c r="A142" s="6">
        <v>44399</v>
      </c>
      <c r="B142" s="14">
        <v>13497663.94148149</v>
      </c>
      <c r="D142" s="17">
        <f>B142/B141-1</f>
        <v>0</v>
      </c>
      <c r="E142" s="14">
        <v>11767446.97319088</v>
      </c>
      <c r="F142" s="17">
        <f>E142/E141-1</f>
        <v>0</v>
      </c>
      <c r="G142" s="14">
        <v>13489677.11081839</v>
      </c>
      <c r="H142" s="17">
        <f>G142/G141-1</f>
        <v>0</v>
      </c>
      <c r="I142" s="14">
        <f>MAX(I141,B142)</f>
        <v>0</v>
      </c>
      <c r="J142" s="17">
        <f>B142/I142-1</f>
        <v>0</v>
      </c>
    </row>
    <row r="143" spans="1:10">
      <c r="A143" s="6">
        <v>44400</v>
      </c>
      <c r="B143" s="14">
        <v>13467676.93057685</v>
      </c>
      <c r="D143" s="17">
        <f>B143/B142-1</f>
        <v>0</v>
      </c>
      <c r="E143" s="14">
        <v>11782468.7700696</v>
      </c>
      <c r="F143" s="17">
        <f>E143/E142-1</f>
        <v>0</v>
      </c>
      <c r="G143" s="14">
        <v>13481518.29295155</v>
      </c>
      <c r="H143" s="17">
        <f>G143/G142-1</f>
        <v>0</v>
      </c>
      <c r="I143" s="14">
        <f>MAX(I142,B143)</f>
        <v>0</v>
      </c>
      <c r="J143" s="17">
        <f>B143/I143-1</f>
        <v>0</v>
      </c>
    </row>
    <row r="144" spans="1:10">
      <c r="A144" s="6">
        <v>44403</v>
      </c>
      <c r="B144" s="14">
        <v>13566615.32529084</v>
      </c>
      <c r="D144" s="17">
        <f>B144/B143-1</f>
        <v>0</v>
      </c>
      <c r="E144" s="14">
        <v>11772785.37585594</v>
      </c>
      <c r="F144" s="17">
        <f>E144/E143-1</f>
        <v>0</v>
      </c>
      <c r="G144" s="14">
        <v>13505989.40019318</v>
      </c>
      <c r="H144" s="17">
        <f>G144/G143-1</f>
        <v>0</v>
      </c>
      <c r="I144" s="14">
        <f>MAX(I143,B144)</f>
        <v>0</v>
      </c>
      <c r="J144" s="17">
        <f>B144/I144-1</f>
        <v>0</v>
      </c>
    </row>
    <row r="145" spans="1:10">
      <c r="A145" s="6">
        <v>44404</v>
      </c>
      <c r="B145" s="14">
        <v>13439834.00624262</v>
      </c>
      <c r="D145" s="17">
        <f>B145/B144-1</f>
        <v>0</v>
      </c>
      <c r="E145" s="14">
        <v>11717560.34400983</v>
      </c>
      <c r="F145" s="17">
        <f>E145/E144-1</f>
        <v>0</v>
      </c>
      <c r="G145" s="14">
        <v>13440543.2636586</v>
      </c>
      <c r="H145" s="17">
        <f>G145/G144-1</f>
        <v>0</v>
      </c>
      <c r="I145" s="14">
        <f>MAX(I144,B145)</f>
        <v>0</v>
      </c>
      <c r="J145" s="17">
        <f>B145/I145-1</f>
        <v>0</v>
      </c>
    </row>
    <row r="146" spans="1:10">
      <c r="A146" s="6">
        <v>44405</v>
      </c>
      <c r="B146" s="14">
        <v>13364721.95424615</v>
      </c>
      <c r="D146" s="17">
        <f>B146/B145-1</f>
        <v>0</v>
      </c>
      <c r="E146" s="14">
        <v>11691300.75518806</v>
      </c>
      <c r="F146" s="17">
        <f>E146/E145-1</f>
        <v>0</v>
      </c>
      <c r="G146" s="14">
        <v>13410040.29199399</v>
      </c>
      <c r="H146" s="17">
        <f>G146/G145-1</f>
        <v>0</v>
      </c>
      <c r="I146" s="14">
        <f>MAX(I145,B146)</f>
        <v>0</v>
      </c>
      <c r="J146" s="17">
        <f>B146/I146-1</f>
        <v>0</v>
      </c>
    </row>
    <row r="147" spans="1:10">
      <c r="A147" s="6">
        <v>44406</v>
      </c>
      <c r="B147" s="14">
        <v>13473121.48829056</v>
      </c>
      <c r="D147" s="17">
        <f>B147/B146-1</f>
        <v>0</v>
      </c>
      <c r="E147" s="14">
        <v>11747476.09321834</v>
      </c>
      <c r="F147" s="17">
        <f>E147/E146-1</f>
        <v>0</v>
      </c>
      <c r="G147" s="14">
        <v>13488148.33079622</v>
      </c>
      <c r="H147" s="17">
        <f>G147/G146-1</f>
        <v>0</v>
      </c>
      <c r="I147" s="14">
        <f>MAX(I146,B147)</f>
        <v>0</v>
      </c>
      <c r="J147" s="17">
        <f>B147/I147-1</f>
        <v>0</v>
      </c>
    </row>
    <row r="148" spans="1:10">
      <c r="A148" s="6">
        <v>44407</v>
      </c>
      <c r="B148" s="14">
        <v>13492381.5197835</v>
      </c>
      <c r="D148" s="17">
        <f>B148/B147-1</f>
        <v>0</v>
      </c>
      <c r="E148" s="14">
        <v>11765686.30837905</v>
      </c>
      <c r="F148" s="17">
        <f>E148/E147-1</f>
        <v>0</v>
      </c>
      <c r="G148" s="14">
        <v>13553982.24472439</v>
      </c>
      <c r="H148" s="17">
        <f>G148/G147-1</f>
        <v>0</v>
      </c>
      <c r="I148" s="14">
        <f>MAX(I147,B148)</f>
        <v>0</v>
      </c>
      <c r="J148" s="17">
        <f>B148/I148-1</f>
        <v>0</v>
      </c>
    </row>
    <row r="149" spans="1:10">
      <c r="A149" s="6">
        <v>44410</v>
      </c>
      <c r="B149" s="14">
        <v>13647481.68360098</v>
      </c>
      <c r="D149" s="17">
        <f>B149/B148-1</f>
        <v>0</v>
      </c>
      <c r="E149" s="14">
        <v>11869099.90279371</v>
      </c>
      <c r="F149" s="17">
        <f>E149/E148-1</f>
        <v>0</v>
      </c>
      <c r="G149" s="14">
        <v>13680877.19698693</v>
      </c>
      <c r="H149" s="17">
        <f>G149/G148-1</f>
        <v>0</v>
      </c>
      <c r="I149" s="14">
        <f>MAX(I148,B149)</f>
        <v>0</v>
      </c>
      <c r="J149" s="17">
        <f>B149/I149-1</f>
        <v>0</v>
      </c>
    </row>
    <row r="150" spans="1:10">
      <c r="A150" s="6">
        <v>44411</v>
      </c>
      <c r="B150" s="14">
        <v>13674213.80003428</v>
      </c>
      <c r="D150" s="17">
        <f>B150/B149-1</f>
        <v>0</v>
      </c>
      <c r="E150" s="14">
        <v>12003565.64786009</v>
      </c>
      <c r="F150" s="17">
        <f>E150/E149-1</f>
        <v>0</v>
      </c>
      <c r="G150" s="14">
        <v>13721232.88087874</v>
      </c>
      <c r="H150" s="17">
        <f>G150/G149-1</f>
        <v>0</v>
      </c>
      <c r="I150" s="14">
        <f>MAX(I149,B150)</f>
        <v>0</v>
      </c>
      <c r="J150" s="17">
        <f>B150/I150-1</f>
        <v>0</v>
      </c>
    </row>
    <row r="151" spans="1:10">
      <c r="A151" s="6">
        <v>44412</v>
      </c>
      <c r="B151" s="14">
        <v>13617761.14490723</v>
      </c>
      <c r="D151" s="17">
        <f>B151/B150-1</f>
        <v>0</v>
      </c>
      <c r="E151" s="14">
        <v>12030100.03217131</v>
      </c>
      <c r="F151" s="17">
        <f>E151/E150-1</f>
        <v>0</v>
      </c>
      <c r="G151" s="14">
        <v>13621420.36444072</v>
      </c>
      <c r="H151" s="17">
        <f>G151/G150-1</f>
        <v>0</v>
      </c>
      <c r="I151" s="14">
        <f>MAX(I150,B151)</f>
        <v>0</v>
      </c>
      <c r="J151" s="17">
        <f>B151/I151-1</f>
        <v>0</v>
      </c>
    </row>
    <row r="152" spans="1:10">
      <c r="A152" s="6">
        <v>44413</v>
      </c>
      <c r="B152" s="14">
        <v>13632694.26725259</v>
      </c>
      <c r="D152" s="17">
        <f>B152/B151-1</f>
        <v>0</v>
      </c>
      <c r="E152" s="14">
        <v>12041179.4369107</v>
      </c>
      <c r="F152" s="17">
        <f>E152/E151-1</f>
        <v>0</v>
      </c>
      <c r="G152" s="14">
        <v>13579935.27171298</v>
      </c>
      <c r="H152" s="17">
        <f>G152/G151-1</f>
        <v>0</v>
      </c>
      <c r="I152" s="14">
        <f>MAX(I151,B152)</f>
        <v>0</v>
      </c>
      <c r="J152" s="17">
        <f>B152/I152-1</f>
        <v>0</v>
      </c>
    </row>
    <row r="153" spans="1:10">
      <c r="A153" s="6">
        <v>44414</v>
      </c>
      <c r="B153" s="14">
        <v>13570614.92722099</v>
      </c>
      <c r="D153" s="17">
        <f>B153/B152-1</f>
        <v>0</v>
      </c>
      <c r="E153" s="14">
        <v>12018586.53397238</v>
      </c>
      <c r="F153" s="17">
        <f>E153/E152-1</f>
        <v>0</v>
      </c>
      <c r="G153" s="14">
        <v>13603105.67394025</v>
      </c>
      <c r="H153" s="17">
        <f>G153/G152-1</f>
        <v>0</v>
      </c>
      <c r="I153" s="14">
        <f>MAX(I152,B153)</f>
        <v>0</v>
      </c>
      <c r="J153" s="17">
        <f>B153/I153-1</f>
        <v>0</v>
      </c>
    </row>
    <row r="154" spans="1:10">
      <c r="A154" s="6">
        <v>44417</v>
      </c>
      <c r="B154" s="14">
        <v>13644438.99583683</v>
      </c>
      <c r="D154" s="17">
        <f>B154/B153-1</f>
        <v>0</v>
      </c>
      <c r="E154" s="14">
        <v>12002277.64087844</v>
      </c>
      <c r="F154" s="17">
        <f>E154/E153-1</f>
        <v>0</v>
      </c>
      <c r="G154" s="14">
        <v>13516333.29402551</v>
      </c>
      <c r="H154" s="17">
        <f>G154/G153-1</f>
        <v>0</v>
      </c>
      <c r="I154" s="14">
        <f>MAX(I153,B154)</f>
        <v>0</v>
      </c>
      <c r="J154" s="17">
        <f>B154/I154-1</f>
        <v>0</v>
      </c>
    </row>
    <row r="155" spans="1:10">
      <c r="A155" s="6">
        <v>44418</v>
      </c>
      <c r="B155" s="14">
        <v>13427819.93170143</v>
      </c>
      <c r="D155" s="17">
        <f>B155/B154-1</f>
        <v>0</v>
      </c>
      <c r="E155" s="14">
        <v>11966416.2977162</v>
      </c>
      <c r="F155" s="17">
        <f>E155/E154-1</f>
        <v>0</v>
      </c>
      <c r="G155" s="14">
        <v>13337865.98797144</v>
      </c>
      <c r="H155" s="17">
        <f>G155/G154-1</f>
        <v>0</v>
      </c>
      <c r="I155" s="14">
        <f>MAX(I154,B155)</f>
        <v>0</v>
      </c>
      <c r="J155" s="17">
        <f>B155/I155-1</f>
        <v>0</v>
      </c>
    </row>
    <row r="156" spans="1:10">
      <c r="A156" s="6">
        <v>44419</v>
      </c>
      <c r="B156" s="14">
        <v>13219124.18555034</v>
      </c>
      <c r="D156" s="17">
        <f>B156/B155-1</f>
        <v>0</v>
      </c>
      <c r="E156" s="14">
        <v>11953032.21000527</v>
      </c>
      <c r="F156" s="17">
        <f>E156/E155-1</f>
        <v>0</v>
      </c>
      <c r="G156" s="14">
        <v>13268482.47918439</v>
      </c>
      <c r="H156" s="17">
        <f>G156/G155-1</f>
        <v>0</v>
      </c>
      <c r="I156" s="14">
        <f>MAX(I155,B156)</f>
        <v>0</v>
      </c>
      <c r="J156" s="17">
        <f>B156/I156-1</f>
        <v>0</v>
      </c>
    </row>
    <row r="157" spans="1:10">
      <c r="A157" s="6">
        <v>44420</v>
      </c>
      <c r="B157" s="14">
        <v>13253113.72041753</v>
      </c>
      <c r="D157" s="17">
        <f>B157/B156-1</f>
        <v>0</v>
      </c>
      <c r="E157" s="14">
        <v>12035777.73244595</v>
      </c>
      <c r="F157" s="17">
        <f>E157/E156-1</f>
        <v>0</v>
      </c>
      <c r="G157" s="14">
        <v>13435734.61068085</v>
      </c>
      <c r="H157" s="17">
        <f>G157/G156-1</f>
        <v>0</v>
      </c>
      <c r="I157" s="14">
        <f>MAX(I156,B157)</f>
        <v>0</v>
      </c>
      <c r="J157" s="17">
        <f>B157/I157-1</f>
        <v>0</v>
      </c>
    </row>
    <row r="158" spans="1:10">
      <c r="A158" s="6">
        <v>44421</v>
      </c>
      <c r="B158" s="14">
        <v>13288502.60033325</v>
      </c>
      <c r="D158" s="17">
        <f>B158/B157-1</f>
        <v>0</v>
      </c>
      <c r="E158" s="14">
        <v>12116764.48874008</v>
      </c>
      <c r="F158" s="17">
        <f>E158/E157-1</f>
        <v>0</v>
      </c>
      <c r="G158" s="14">
        <v>13442376.6977422</v>
      </c>
      <c r="H158" s="17">
        <f>G158/G157-1</f>
        <v>0</v>
      </c>
      <c r="I158" s="14">
        <f>MAX(I157,B158)</f>
        <v>0</v>
      </c>
      <c r="J158" s="17">
        <f>B158/I158-1</f>
        <v>0</v>
      </c>
    </row>
    <row r="159" spans="1:10">
      <c r="A159" s="6">
        <v>44424</v>
      </c>
      <c r="B159" s="14">
        <v>13196762.6126157</v>
      </c>
      <c r="D159" s="17">
        <f>B159/B158-1</f>
        <v>0</v>
      </c>
      <c r="E159" s="14">
        <v>12122079.53541335</v>
      </c>
      <c r="F159" s="17">
        <f>E159/E158-1</f>
        <v>0</v>
      </c>
      <c r="G159" s="14">
        <v>13371139.5159992</v>
      </c>
      <c r="H159" s="17">
        <f>G159/G158-1</f>
        <v>0</v>
      </c>
      <c r="I159" s="14">
        <f>MAX(I158,B159)</f>
        <v>0</v>
      </c>
      <c r="J159" s="17">
        <f>B159/I159-1</f>
        <v>0</v>
      </c>
    </row>
    <row r="160" spans="1:10">
      <c r="A160" s="6">
        <v>44425</v>
      </c>
      <c r="B160" s="14">
        <v>13356239.2282033</v>
      </c>
      <c r="D160" s="17">
        <f>B160/B159-1</f>
        <v>0</v>
      </c>
      <c r="E160" s="14">
        <v>12159098.31607643</v>
      </c>
      <c r="F160" s="17">
        <f>E160/E159-1</f>
        <v>0</v>
      </c>
      <c r="G160" s="14">
        <v>13383592.83992881</v>
      </c>
      <c r="H160" s="17">
        <f>G160/G159-1</f>
        <v>0</v>
      </c>
      <c r="I160" s="14">
        <f>MAX(I159,B160)</f>
        <v>0</v>
      </c>
      <c r="J160" s="17">
        <f>B160/I160-1</f>
        <v>0</v>
      </c>
    </row>
    <row r="161" spans="1:10">
      <c r="A161" s="6">
        <v>44426</v>
      </c>
      <c r="B161" s="14">
        <v>13364531.03618072</v>
      </c>
      <c r="D161" s="17">
        <f>B161/B160-1</f>
        <v>0</v>
      </c>
      <c r="E161" s="14">
        <v>12144557.33956837</v>
      </c>
      <c r="F161" s="17">
        <f>E161/E160-1</f>
        <v>0</v>
      </c>
      <c r="G161" s="14">
        <v>13394079.25849079</v>
      </c>
      <c r="H161" s="17">
        <f>G161/G160-1</f>
        <v>0</v>
      </c>
      <c r="I161" s="14">
        <f>MAX(I160,B161)</f>
        <v>0</v>
      </c>
      <c r="J161" s="17">
        <f>B161/I161-1</f>
        <v>0</v>
      </c>
    </row>
    <row r="162" spans="1:10">
      <c r="A162" s="6">
        <v>44428</v>
      </c>
      <c r="B162" s="14">
        <v>13227447.92642817</v>
      </c>
      <c r="D162" s="17">
        <f>B162/B161-1</f>
        <v>0</v>
      </c>
      <c r="E162" s="14">
        <v>12014519.23925115</v>
      </c>
      <c r="F162" s="17">
        <f>E162/E161-1</f>
        <v>0</v>
      </c>
      <c r="G162" s="14">
        <v>13137609.63578073</v>
      </c>
      <c r="H162" s="17">
        <f>G162/G161-1</f>
        <v>0</v>
      </c>
      <c r="I162" s="14">
        <f>MAX(I161,B162)</f>
        <v>0</v>
      </c>
      <c r="J162" s="17">
        <f>B162/I162-1</f>
        <v>0</v>
      </c>
    </row>
    <row r="163" spans="1:10">
      <c r="A163" s="6">
        <v>44431</v>
      </c>
      <c r="B163" s="14">
        <v>13138472.77648495</v>
      </c>
      <c r="D163" s="17">
        <f>B163/B162-1</f>
        <v>0</v>
      </c>
      <c r="E163" s="14">
        <v>12003545.18695223</v>
      </c>
      <c r="F163" s="17">
        <f>E163/E162-1</f>
        <v>0</v>
      </c>
      <c r="G163" s="14">
        <v>12999172.3543656</v>
      </c>
      <c r="H163" s="17">
        <f>G163/G162-1</f>
        <v>0</v>
      </c>
      <c r="I163" s="14">
        <f>MAX(I162,B163)</f>
        <v>0</v>
      </c>
      <c r="J163" s="17">
        <f>B163/I163-1</f>
        <v>0</v>
      </c>
    </row>
    <row r="164" spans="1:10">
      <c r="A164" s="6">
        <v>44432</v>
      </c>
      <c r="B164" s="14">
        <v>13269103.15996854</v>
      </c>
      <c r="D164" s="17">
        <f>B164/B163-1</f>
        <v>0</v>
      </c>
      <c r="E164" s="14">
        <v>12118460.64105153</v>
      </c>
      <c r="F164" s="17">
        <f>E164/E163-1</f>
        <v>0</v>
      </c>
      <c r="G164" s="14">
        <v>13179552.99763631</v>
      </c>
      <c r="H164" s="17">
        <f>G164/G163-1</f>
        <v>0</v>
      </c>
      <c r="I164" s="14">
        <f>MAX(I163,B164)</f>
        <v>0</v>
      </c>
      <c r="J164" s="17">
        <f>B164/I164-1</f>
        <v>0</v>
      </c>
    </row>
    <row r="165" spans="1:10">
      <c r="A165" s="6">
        <v>44433</v>
      </c>
      <c r="B165" s="14">
        <v>13238480.52935821</v>
      </c>
      <c r="D165" s="17">
        <f>B165/B164-1</f>
        <v>0</v>
      </c>
      <c r="E165" s="14">
        <v>12145190.31023129</v>
      </c>
      <c r="F165" s="17">
        <f>E165/E164-1</f>
        <v>0</v>
      </c>
      <c r="G165" s="14">
        <v>13258016.74429156</v>
      </c>
      <c r="H165" s="17">
        <f>G165/G164-1</f>
        <v>0</v>
      </c>
      <c r="I165" s="14">
        <f>MAX(I164,B165)</f>
        <v>0</v>
      </c>
      <c r="J165" s="17">
        <f>B165/I165-1</f>
        <v>0</v>
      </c>
    </row>
    <row r="166" spans="1:10">
      <c r="A166" s="6">
        <v>44434</v>
      </c>
      <c r="B166" s="14">
        <v>13305288.31415946</v>
      </c>
      <c r="D166" s="17">
        <f>B166/B165-1</f>
        <v>0</v>
      </c>
      <c r="E166" s="14">
        <v>12157273.54927926</v>
      </c>
      <c r="F166" s="17">
        <f>E166/E165-1</f>
        <v>0</v>
      </c>
      <c r="G166" s="14">
        <v>13259916.8715337</v>
      </c>
      <c r="H166" s="17">
        <f>G166/G165-1</f>
        <v>0</v>
      </c>
      <c r="I166" s="14">
        <f>MAX(I165,B166)</f>
        <v>0</v>
      </c>
      <c r="J166" s="17">
        <f>B166/I166-1</f>
        <v>0</v>
      </c>
    </row>
    <row r="167" spans="1:10">
      <c r="A167" s="6">
        <v>44435</v>
      </c>
      <c r="B167" s="14">
        <v>13402237.26975766</v>
      </c>
      <c r="D167" s="17">
        <f>B167/B166-1</f>
        <v>0</v>
      </c>
      <c r="E167" s="14">
        <v>12231578.70578467</v>
      </c>
      <c r="F167" s="17">
        <f>E167/E166-1</f>
        <v>0</v>
      </c>
      <c r="G167" s="14">
        <v>13362369.42436591</v>
      </c>
      <c r="H167" s="17">
        <f>G167/G166-1</f>
        <v>0</v>
      </c>
      <c r="I167" s="14">
        <f>MAX(I166,B167)</f>
        <v>0</v>
      </c>
      <c r="J167" s="17">
        <f>B167/I167-1</f>
        <v>0</v>
      </c>
    </row>
    <row r="168" spans="1:10">
      <c r="A168" s="6">
        <v>44438</v>
      </c>
      <c r="B168" s="14">
        <v>13675284.01237964</v>
      </c>
      <c r="D168" s="17">
        <f>B168/B167-1</f>
        <v>0</v>
      </c>
      <c r="E168" s="14">
        <v>12409182.19725815</v>
      </c>
      <c r="F168" s="17">
        <f>E168/E167-1</f>
        <v>0</v>
      </c>
      <c r="G168" s="14">
        <v>13550944.9090499</v>
      </c>
      <c r="H168" s="17">
        <f>G168/G167-1</f>
        <v>0</v>
      </c>
      <c r="I168" s="14">
        <f>MAX(I167,B168)</f>
        <v>0</v>
      </c>
      <c r="J168" s="17">
        <f>B168/I168-1</f>
        <v>0</v>
      </c>
    </row>
    <row r="169" spans="1:10">
      <c r="A169" s="6">
        <v>44439</v>
      </c>
      <c r="B169" s="14">
        <v>13842745.92793397</v>
      </c>
      <c r="D169" s="17">
        <f>B169/B168-1</f>
        <v>0</v>
      </c>
      <c r="E169" s="14">
        <v>12545949.27068979</v>
      </c>
      <c r="F169" s="17">
        <f>E169/E168-1</f>
        <v>0</v>
      </c>
      <c r="G169" s="14">
        <v>13671790.22634421</v>
      </c>
      <c r="H169" s="17">
        <f>G169/G168-1</f>
        <v>0</v>
      </c>
      <c r="I169" s="14">
        <f>MAX(I168,B169)</f>
        <v>0</v>
      </c>
      <c r="J169" s="17">
        <f>B169/I169-1</f>
        <v>0</v>
      </c>
    </row>
    <row r="170" spans="1:10">
      <c r="A170" s="6">
        <v>44440</v>
      </c>
      <c r="B170" s="14">
        <v>14013634.68801589</v>
      </c>
      <c r="D170" s="17">
        <f>B170/B169-1</f>
        <v>0</v>
      </c>
      <c r="E170" s="14">
        <v>12542624.31010392</v>
      </c>
      <c r="F170" s="17">
        <f>E170/E169-1</f>
        <v>0</v>
      </c>
      <c r="G170" s="14">
        <v>13731172.1878902</v>
      </c>
      <c r="H170" s="17">
        <f>G170/G169-1</f>
        <v>0</v>
      </c>
      <c r="I170" s="14">
        <f>MAX(I169,B170)</f>
        <v>0</v>
      </c>
      <c r="J170" s="17">
        <f>B170/I170-1</f>
        <v>0</v>
      </c>
    </row>
    <row r="171" spans="1:10">
      <c r="A171" s="6">
        <v>44441</v>
      </c>
      <c r="B171" s="14">
        <v>14177700.61962961</v>
      </c>
      <c r="D171" s="17">
        <f>B171/B170-1</f>
        <v>0</v>
      </c>
      <c r="E171" s="14">
        <v>12657861.73695298</v>
      </c>
      <c r="F171" s="17">
        <f>E171/E170-1</f>
        <v>0</v>
      </c>
      <c r="G171" s="14">
        <v>13858999.31927155</v>
      </c>
      <c r="H171" s="17">
        <f>G171/G170-1</f>
        <v>0</v>
      </c>
      <c r="I171" s="14">
        <f>MAX(I170,B171)</f>
        <v>0</v>
      </c>
      <c r="J171" s="17">
        <f>B171/I171-1</f>
        <v>0</v>
      </c>
    </row>
    <row r="172" spans="1:10">
      <c r="A172" s="6">
        <v>44442</v>
      </c>
      <c r="B172" s="14">
        <v>14203814.29753773</v>
      </c>
      <c r="D172" s="17">
        <f>B172/B171-1</f>
        <v>0</v>
      </c>
      <c r="E172" s="14">
        <v>12723071.31754425</v>
      </c>
      <c r="F172" s="17">
        <f>E172/E171-1</f>
        <v>0</v>
      </c>
      <c r="G172" s="14">
        <v>13928290.06502177</v>
      </c>
      <c r="H172" s="17">
        <f>G172/G171-1</f>
        <v>0</v>
      </c>
      <c r="I172" s="14">
        <f>MAX(I171,B172)</f>
        <v>0</v>
      </c>
      <c r="J172" s="17">
        <f>B172/I172-1</f>
        <v>0</v>
      </c>
    </row>
    <row r="173" spans="1:10">
      <c r="A173" s="6">
        <v>44445</v>
      </c>
      <c r="B173" s="14">
        <v>14402396.52964406</v>
      </c>
      <c r="D173" s="17">
        <f>B173/B172-1</f>
        <v>0</v>
      </c>
      <c r="E173" s="14">
        <v>12763804.85979534</v>
      </c>
      <c r="F173" s="17">
        <f>E173/E172-1</f>
        <v>0</v>
      </c>
      <c r="G173" s="14">
        <v>13997776.56681587</v>
      </c>
      <c r="H173" s="17">
        <f>G173/G172-1</f>
        <v>0</v>
      </c>
      <c r="I173" s="14">
        <f>MAX(I172,B173)</f>
        <v>0</v>
      </c>
      <c r="J173" s="17">
        <f>B173/I173-1</f>
        <v>0</v>
      </c>
    </row>
    <row r="174" spans="1:10">
      <c r="A174" s="6">
        <v>44446</v>
      </c>
      <c r="B174" s="14">
        <v>14372327.48435069</v>
      </c>
      <c r="D174" s="17">
        <f>B174/B173-1</f>
        <v>0</v>
      </c>
      <c r="E174" s="14">
        <v>12745792.10082996</v>
      </c>
      <c r="F174" s="17">
        <f>E174/E173-1</f>
        <v>0</v>
      </c>
      <c r="G174" s="14">
        <v>13975688.20866523</v>
      </c>
      <c r="H174" s="17">
        <f>G174/G173-1</f>
        <v>0</v>
      </c>
      <c r="I174" s="14">
        <f>MAX(I173,B174)</f>
        <v>0</v>
      </c>
      <c r="J174" s="17">
        <f>B174/I174-1</f>
        <v>0</v>
      </c>
    </row>
    <row r="175" spans="1:10">
      <c r="A175" s="6">
        <v>44447</v>
      </c>
      <c r="B175" s="14">
        <v>14425093.93707205</v>
      </c>
      <c r="D175" s="17">
        <f>B175/B174-1</f>
        <v>0</v>
      </c>
      <c r="E175" s="14">
        <v>12763080.72133493</v>
      </c>
      <c r="F175" s="17">
        <f>E175/E174-1</f>
        <v>0</v>
      </c>
      <c r="G175" s="14">
        <v>14012242.14234078</v>
      </c>
      <c r="H175" s="17">
        <f>G175/G174-1</f>
        <v>0</v>
      </c>
      <c r="I175" s="14">
        <f>MAX(I174,B175)</f>
        <v>0</v>
      </c>
      <c r="J175" s="17">
        <f>B175/I175-1</f>
        <v>0</v>
      </c>
    </row>
    <row r="176" spans="1:10">
      <c r="A176" s="6">
        <v>44448</v>
      </c>
      <c r="B176" s="14">
        <v>14561179.45503211</v>
      </c>
      <c r="D176" s="17">
        <f>B176/B175-1</f>
        <v>0</v>
      </c>
      <c r="E176" s="14">
        <v>12792010.96885333</v>
      </c>
      <c r="F176" s="17">
        <f>E176/E175-1</f>
        <v>0</v>
      </c>
      <c r="G176" s="14">
        <v>14082996.07290107</v>
      </c>
      <c r="H176" s="17">
        <f>G176/G175-1</f>
        <v>0</v>
      </c>
      <c r="I176" s="14">
        <f>MAX(I175,B176)</f>
        <v>0</v>
      </c>
      <c r="J176" s="17">
        <f>B176/I176-1</f>
        <v>0</v>
      </c>
    </row>
    <row r="177" spans="1:10">
      <c r="A177" s="6">
        <v>44452</v>
      </c>
      <c r="B177" s="14">
        <v>14712758.16831067</v>
      </c>
      <c r="D177" s="17">
        <f>B177/B176-1</f>
        <v>0</v>
      </c>
      <c r="E177" s="14">
        <v>12806199.78729706</v>
      </c>
      <c r="F177" s="17">
        <f>E177/E176-1</f>
        <v>0</v>
      </c>
      <c r="G177" s="14">
        <v>14142849.87943496</v>
      </c>
      <c r="H177" s="17">
        <f>G177/G176-1</f>
        <v>0</v>
      </c>
      <c r="I177" s="14">
        <f>MAX(I176,B177)</f>
        <v>0</v>
      </c>
      <c r="J177" s="17">
        <f>B177/I177-1</f>
        <v>0</v>
      </c>
    </row>
    <row r="178" spans="1:10">
      <c r="A178" s="6">
        <v>44453</v>
      </c>
      <c r="B178" s="14">
        <v>14796421.95264486</v>
      </c>
      <c r="D178" s="17">
        <f>B178/B177-1</f>
        <v>0</v>
      </c>
      <c r="E178" s="14">
        <v>12851775.05296822</v>
      </c>
      <c r="F178" s="17">
        <f>E178/E177-1</f>
        <v>0</v>
      </c>
      <c r="G178" s="14">
        <v>14245023.04150817</v>
      </c>
      <c r="H178" s="17">
        <f>G178/G177-1</f>
        <v>0</v>
      </c>
      <c r="I178" s="14">
        <f>MAX(I177,B178)</f>
        <v>0</v>
      </c>
      <c r="J178" s="17">
        <f>B178/I178-1</f>
        <v>0</v>
      </c>
    </row>
    <row r="179" spans="1:10">
      <c r="A179" s="6">
        <v>44454</v>
      </c>
      <c r="B179" s="14">
        <v>14898428.0614251</v>
      </c>
      <c r="D179" s="17">
        <f>B179/B178-1</f>
        <v>0</v>
      </c>
      <c r="E179" s="14">
        <v>12952584.55576136</v>
      </c>
      <c r="F179" s="17">
        <f>E179/E178-1</f>
        <v>0</v>
      </c>
      <c r="G179" s="14">
        <v>14363945.47416045</v>
      </c>
      <c r="H179" s="17">
        <f>G179/G178-1</f>
        <v>0</v>
      </c>
      <c r="I179" s="14">
        <f>MAX(I178,B179)</f>
        <v>0</v>
      </c>
      <c r="J179" s="17">
        <f>B179/I179-1</f>
        <v>0</v>
      </c>
    </row>
    <row r="180" spans="1:10">
      <c r="A180" s="6">
        <v>44455</v>
      </c>
      <c r="B180" s="14">
        <v>14888028.98556154</v>
      </c>
      <c r="D180" s="17">
        <f>B180/B179-1</f>
        <v>0</v>
      </c>
      <c r="E180" s="14">
        <v>13025938.90244178</v>
      </c>
      <c r="F180" s="17">
        <f>E180/E179-1</f>
        <v>0</v>
      </c>
      <c r="G180" s="14">
        <v>14420132.98494964</v>
      </c>
      <c r="H180" s="17">
        <f>G180/G179-1</f>
        <v>0</v>
      </c>
      <c r="I180" s="14">
        <f>MAX(I179,B180)</f>
        <v>0</v>
      </c>
      <c r="J180" s="17">
        <f>B180/I180-1</f>
        <v>0</v>
      </c>
    </row>
    <row r="181" spans="1:10">
      <c r="A181" s="6">
        <v>44456</v>
      </c>
      <c r="B181" s="14">
        <v>14704184.71233975</v>
      </c>
      <c r="D181" s="17">
        <f>B181/B180-1</f>
        <v>0</v>
      </c>
      <c r="E181" s="14">
        <v>12959596.19854204</v>
      </c>
      <c r="F181" s="17">
        <f>E181/E180-1</f>
        <v>0</v>
      </c>
      <c r="G181" s="14">
        <v>14288030.35071539</v>
      </c>
      <c r="H181" s="17">
        <f>G181/G180-1</f>
        <v>0</v>
      </c>
      <c r="I181" s="14">
        <f>MAX(I180,B181)</f>
        <v>0</v>
      </c>
      <c r="J181" s="17">
        <f>B181/I181-1</f>
        <v>0</v>
      </c>
    </row>
    <row r="182" spans="1:10">
      <c r="A182" s="6">
        <v>44459</v>
      </c>
      <c r="B182" s="14">
        <v>14415065.20007438</v>
      </c>
      <c r="D182" s="17">
        <f>B182/B181-1</f>
        <v>0</v>
      </c>
      <c r="E182" s="14">
        <v>12787300.8439854</v>
      </c>
      <c r="F182" s="17">
        <f>E182/E181-1</f>
        <v>0</v>
      </c>
      <c r="G182" s="14">
        <v>14041770.9180836</v>
      </c>
      <c r="H182" s="17">
        <f>G182/G181-1</f>
        <v>0</v>
      </c>
      <c r="I182" s="14">
        <f>MAX(I181,B182)</f>
        <v>0</v>
      </c>
      <c r="J182" s="17">
        <f>B182/I182-1</f>
        <v>0</v>
      </c>
    </row>
    <row r="183" spans="1:10">
      <c r="A183" s="6">
        <v>44460</v>
      </c>
      <c r="B183" s="14">
        <v>14409956.74758301</v>
      </c>
      <c r="D183" s="17">
        <f>B183/B182-1</f>
        <v>0</v>
      </c>
      <c r="E183" s="14">
        <v>12891015.25270369</v>
      </c>
      <c r="F183" s="17">
        <f>E183/E182-1</f>
        <v>0</v>
      </c>
      <c r="G183" s="14">
        <v>14103609.74521781</v>
      </c>
      <c r="H183" s="17">
        <f>G183/G182-1</f>
        <v>0</v>
      </c>
      <c r="I183" s="14">
        <f>MAX(I182,B183)</f>
        <v>0</v>
      </c>
      <c r="J183" s="17">
        <f>B183/I183-1</f>
        <v>0</v>
      </c>
    </row>
    <row r="184" spans="1:10">
      <c r="A184" s="6">
        <v>44461</v>
      </c>
      <c r="B184" s="14">
        <v>14576995.5107657</v>
      </c>
      <c r="D184" s="17">
        <f>B184/B183-1</f>
        <v>0</v>
      </c>
      <c r="E184" s="14">
        <v>12929794.23721867</v>
      </c>
      <c r="F184" s="17">
        <f>E184/E183-1</f>
        <v>0</v>
      </c>
      <c r="G184" s="14">
        <v>14258856.55015497</v>
      </c>
      <c r="H184" s="17">
        <f>G184/G183-1</f>
        <v>0</v>
      </c>
      <c r="I184" s="14">
        <f>MAX(I183,B184)</f>
        <v>0</v>
      </c>
      <c r="J184" s="17">
        <f>B184/I184-1</f>
        <v>0</v>
      </c>
    </row>
    <row r="185" spans="1:10">
      <c r="A185" s="6">
        <v>44462</v>
      </c>
      <c r="B185" s="14">
        <v>14705722.70282253</v>
      </c>
      <c r="D185" s="17">
        <f>B185/B184-1</f>
        <v>0</v>
      </c>
      <c r="E185" s="14">
        <v>13115767.90845734</v>
      </c>
      <c r="F185" s="17">
        <f>E185/E184-1</f>
        <v>0</v>
      </c>
      <c r="G185" s="14">
        <v>14424720.2385017</v>
      </c>
      <c r="H185" s="17">
        <f>G185/G184-1</f>
        <v>0</v>
      </c>
      <c r="I185" s="14">
        <f>MAX(I184,B185)</f>
        <v>0</v>
      </c>
      <c r="J185" s="17">
        <f>B185/I185-1</f>
        <v>0</v>
      </c>
    </row>
    <row r="186" spans="1:10">
      <c r="A186" s="6">
        <v>44463</v>
      </c>
      <c r="B186" s="14">
        <v>14591698.14932581</v>
      </c>
      <c r="D186" s="17">
        <f>B186/B185-1</f>
        <v>0</v>
      </c>
      <c r="E186" s="14">
        <v>13104747.77140704</v>
      </c>
      <c r="F186" s="17">
        <f>E186/E185-1</f>
        <v>0</v>
      </c>
      <c r="G186" s="14">
        <v>14352176.23477503</v>
      </c>
      <c r="H186" s="17">
        <f>G186/G185-1</f>
        <v>0</v>
      </c>
      <c r="I186" s="14">
        <f>MAX(I185,B186)</f>
        <v>0</v>
      </c>
      <c r="J186" s="17">
        <f>B186/I186-1</f>
        <v>0</v>
      </c>
    </row>
    <row r="187" spans="1:10">
      <c r="A187" s="6">
        <v>44466</v>
      </c>
      <c r="B187" s="14">
        <v>14534548.78226686</v>
      </c>
      <c r="D187" s="17">
        <f>B187/B186-1</f>
        <v>0</v>
      </c>
      <c r="E187" s="14">
        <v>13102869.89731365</v>
      </c>
      <c r="F187" s="17">
        <f>E187/E186-1</f>
        <v>0</v>
      </c>
      <c r="G187" s="14">
        <v>14366853.64554268</v>
      </c>
      <c r="H187" s="17">
        <f>G187/G186-1</f>
        <v>0</v>
      </c>
      <c r="I187" s="14">
        <f>MAX(I186,B187)</f>
        <v>0</v>
      </c>
      <c r="J187" s="17">
        <f>B187/I187-1</f>
        <v>0</v>
      </c>
    </row>
    <row r="188" spans="1:10">
      <c r="A188" s="6">
        <v>44467</v>
      </c>
      <c r="B188" s="14">
        <v>14385013.39012783</v>
      </c>
      <c r="D188" s="17">
        <f>B188/B187-1</f>
        <v>0</v>
      </c>
      <c r="E188" s="14">
        <v>13022878.81051143</v>
      </c>
      <c r="F188" s="17">
        <f>E188/E187-1</f>
        <v>0</v>
      </c>
      <c r="G188" s="14">
        <v>14303098.93534245</v>
      </c>
      <c r="H188" s="17">
        <f>G188/G187-1</f>
        <v>0</v>
      </c>
      <c r="I188" s="14">
        <f>MAX(I187,B188)</f>
        <v>0</v>
      </c>
      <c r="J188" s="17">
        <f>B188/I188-1</f>
        <v>0</v>
      </c>
    </row>
    <row r="189" spans="1:10">
      <c r="A189" s="6">
        <v>44468</v>
      </c>
      <c r="B189" s="14">
        <v>14447614.50131815</v>
      </c>
      <c r="D189" s="17">
        <f>B189/B188-1</f>
        <v>0</v>
      </c>
      <c r="E189" s="14">
        <v>13016037.15250288</v>
      </c>
      <c r="F189" s="17">
        <f>E189/E188-1</f>
        <v>0</v>
      </c>
      <c r="G189" s="14">
        <v>14384777.87397492</v>
      </c>
      <c r="H189" s="17">
        <f>G189/G188-1</f>
        <v>0</v>
      </c>
      <c r="I189" s="14">
        <f>MAX(I188,B189)</f>
        <v>0</v>
      </c>
      <c r="J189" s="17">
        <f>B189/I189-1</f>
        <v>0</v>
      </c>
    </row>
    <row r="190" spans="1:10">
      <c r="A190" s="6">
        <v>44469</v>
      </c>
      <c r="B190" s="14">
        <v>14517373.91125097</v>
      </c>
      <c r="D190" s="17">
        <f>B190/B189-1</f>
        <v>0</v>
      </c>
      <c r="E190" s="14">
        <v>12987065.32821964</v>
      </c>
      <c r="F190" s="17">
        <f>E190/E189-1</f>
        <v>0</v>
      </c>
      <c r="G190" s="14">
        <v>14446253.24068482</v>
      </c>
      <c r="H190" s="17">
        <f>G190/G189-1</f>
        <v>0</v>
      </c>
      <c r="I190" s="14">
        <f>MAX(I189,B190)</f>
        <v>0</v>
      </c>
      <c r="J190" s="17">
        <f>B190/I190-1</f>
        <v>0</v>
      </c>
    </row>
    <row r="191" spans="1:10">
      <c r="A191" s="6">
        <v>44470</v>
      </c>
      <c r="B191" s="14">
        <v>14573738.27372406</v>
      </c>
      <c r="D191" s="17">
        <f>B191/B190-1</f>
        <v>0</v>
      </c>
      <c r="E191" s="14">
        <v>12954294.16061574</v>
      </c>
      <c r="F191" s="17">
        <f>E191/E190-1</f>
        <v>0</v>
      </c>
      <c r="G191" s="14">
        <v>14481557.73210079</v>
      </c>
      <c r="H191" s="17">
        <f>G191/G190-1</f>
        <v>0</v>
      </c>
      <c r="I191" s="14">
        <f>MAX(I190,B191)</f>
        <v>0</v>
      </c>
      <c r="J191" s="17">
        <f>B191/I191-1</f>
        <v>0</v>
      </c>
    </row>
    <row r="192" spans="1:10">
      <c r="A192" s="6">
        <v>44473</v>
      </c>
      <c r="B192" s="14">
        <v>14797564.13824769</v>
      </c>
      <c r="D192" s="17">
        <f>B192/B191-1</f>
        <v>0</v>
      </c>
      <c r="E192" s="14">
        <v>13099174.23269699</v>
      </c>
      <c r="F192" s="17">
        <f>E192/E191-1</f>
        <v>0</v>
      </c>
      <c r="G192" s="14">
        <v>14668021.07693543</v>
      </c>
      <c r="H192" s="17">
        <f>G192/G191-1</f>
        <v>0</v>
      </c>
      <c r="I192" s="14">
        <f>MAX(I191,B192)</f>
        <v>0</v>
      </c>
      <c r="J192" s="17">
        <f>B192/I192-1</f>
        <v>0</v>
      </c>
    </row>
    <row r="193" spans="1:10">
      <c r="A193" s="6">
        <v>44474</v>
      </c>
      <c r="B193" s="14">
        <v>14834547.03812141</v>
      </c>
      <c r="D193" s="17">
        <f>B193/B192-1</f>
        <v>0</v>
      </c>
      <c r="E193" s="14">
        <v>13185177.10943819</v>
      </c>
      <c r="F193" s="17">
        <f>E193/E192-1</f>
        <v>0</v>
      </c>
      <c r="G193" s="14">
        <v>14740765.91109523</v>
      </c>
      <c r="H193" s="17">
        <f>G193/G192-1</f>
        <v>0</v>
      </c>
      <c r="I193" s="14">
        <f>MAX(I192,B193)</f>
        <v>0</v>
      </c>
      <c r="J193" s="17">
        <f>B193/I193-1</f>
        <v>0</v>
      </c>
    </row>
    <row r="194" spans="1:10">
      <c r="A194" s="6">
        <v>44475</v>
      </c>
      <c r="B194" s="14">
        <v>14743177.87227626</v>
      </c>
      <c r="D194" s="17">
        <f>B194/B193-1</f>
        <v>0</v>
      </c>
      <c r="E194" s="14">
        <v>13060210.24709359</v>
      </c>
      <c r="F194" s="17">
        <f>E194/E193-1</f>
        <v>0</v>
      </c>
      <c r="G194" s="14">
        <v>14614618.48182659</v>
      </c>
      <c r="H194" s="17">
        <f>G194/G193-1</f>
        <v>0</v>
      </c>
      <c r="I194" s="14">
        <f>MAX(I193,B194)</f>
        <v>0</v>
      </c>
      <c r="J194" s="17">
        <f>B194/I194-1</f>
        <v>0</v>
      </c>
    </row>
    <row r="195" spans="1:10">
      <c r="A195" s="6">
        <v>44476</v>
      </c>
      <c r="B195" s="14">
        <v>14982094.3163542</v>
      </c>
      <c r="D195" s="17">
        <f>B195/B194-1</f>
        <v>0</v>
      </c>
      <c r="E195" s="14">
        <v>13195106.15039947</v>
      </c>
      <c r="F195" s="17">
        <f>E195/E194-1</f>
        <v>0</v>
      </c>
      <c r="G195" s="14">
        <v>14798864.85612279</v>
      </c>
      <c r="H195" s="17">
        <f>G195/G194-1</f>
        <v>0</v>
      </c>
      <c r="I195" s="14">
        <f>MAX(I194,B195)</f>
        <v>0</v>
      </c>
      <c r="J195" s="17">
        <f>B195/I195-1</f>
        <v>0</v>
      </c>
    </row>
    <row r="196" spans="1:10">
      <c r="A196" s="6">
        <v>44477</v>
      </c>
      <c r="B196" s="14">
        <v>15276921.52752791</v>
      </c>
      <c r="D196" s="17">
        <f>B196/B195-1</f>
        <v>0</v>
      </c>
      <c r="E196" s="14">
        <v>13260501.02895357</v>
      </c>
      <c r="F196" s="17">
        <f>E196/E195-1</f>
        <v>0</v>
      </c>
      <c r="G196" s="14">
        <v>14859968.99895418</v>
      </c>
      <c r="H196" s="17">
        <f>G196/G195-1</f>
        <v>0</v>
      </c>
      <c r="I196" s="14">
        <f>MAX(I195,B196)</f>
        <v>0</v>
      </c>
      <c r="J196" s="17">
        <f>B196/I196-1</f>
        <v>0</v>
      </c>
    </row>
    <row r="197" spans="1:10">
      <c r="A197" s="6">
        <v>44480</v>
      </c>
      <c r="B197" s="14">
        <v>15376114.05115965</v>
      </c>
      <c r="D197" s="17">
        <f>B197/B196-1</f>
        <v>0</v>
      </c>
      <c r="E197" s="14">
        <v>13315330.07491248</v>
      </c>
      <c r="F197" s="17">
        <f>E197/E196-1</f>
        <v>0</v>
      </c>
      <c r="G197" s="14">
        <v>14951480.938777</v>
      </c>
      <c r="H197" s="17">
        <f>G197/G196-1</f>
        <v>0</v>
      </c>
      <c r="I197" s="14">
        <f>MAX(I196,B197)</f>
        <v>0</v>
      </c>
      <c r="J197" s="17">
        <f>B197/I197-1</f>
        <v>0</v>
      </c>
    </row>
    <row r="198" spans="1:10">
      <c r="A198" s="6">
        <v>44481</v>
      </c>
      <c r="B198" s="14">
        <v>15429894.38984797</v>
      </c>
      <c r="D198" s="17">
        <f>B198/B197-1</f>
        <v>0</v>
      </c>
      <c r="E198" s="14">
        <v>13362483.55050882</v>
      </c>
      <c r="F198" s="17">
        <f>E198/E197-1</f>
        <v>0</v>
      </c>
      <c r="G198" s="14">
        <v>15037578.72528483</v>
      </c>
      <c r="H198" s="17">
        <f>G198/G197-1</f>
        <v>0</v>
      </c>
      <c r="I198" s="14">
        <f>MAX(I197,B198)</f>
        <v>0</v>
      </c>
      <c r="J198" s="17">
        <f>B198/I198-1</f>
        <v>0</v>
      </c>
    </row>
    <row r="199" spans="1:10">
      <c r="A199" s="6">
        <v>44482</v>
      </c>
      <c r="B199" s="14">
        <v>15468709.29821937</v>
      </c>
      <c r="D199" s="17">
        <f>B199/B198-1</f>
        <v>0</v>
      </c>
      <c r="E199" s="14">
        <v>13492153.84347588</v>
      </c>
      <c r="F199" s="17">
        <f>E199/E198-1</f>
        <v>0</v>
      </c>
      <c r="G199" s="14">
        <v>15172371.24959673</v>
      </c>
      <c r="H199" s="17">
        <f>G199/G198-1</f>
        <v>0</v>
      </c>
      <c r="I199" s="14">
        <f>MAX(I198,B199)</f>
        <v>0</v>
      </c>
      <c r="J199" s="17">
        <f>B199/I199-1</f>
        <v>0</v>
      </c>
    </row>
    <row r="200" spans="1:10">
      <c r="A200" s="6">
        <v>44483</v>
      </c>
      <c r="B200" s="14">
        <v>15768441.4770658</v>
      </c>
      <c r="D200" s="17">
        <f>B200/B199-1</f>
        <v>0</v>
      </c>
      <c r="E200" s="14">
        <v>13611780.42889433</v>
      </c>
      <c r="F200" s="17">
        <f>E200/E199-1</f>
        <v>0</v>
      </c>
      <c r="G200" s="14">
        <v>15270614.94422952</v>
      </c>
      <c r="H200" s="17">
        <f>G200/G199-1</f>
        <v>0</v>
      </c>
      <c r="I200" s="14">
        <f>MAX(I199,B200)</f>
        <v>0</v>
      </c>
      <c r="J200" s="17">
        <f>B200/I200-1</f>
        <v>0</v>
      </c>
    </row>
    <row r="201" spans="1:10">
      <c r="A201" s="6">
        <v>44487</v>
      </c>
      <c r="B201" s="14">
        <v>15846300.49598231</v>
      </c>
      <c r="D201" s="17">
        <f>B201/B200-1</f>
        <v>0</v>
      </c>
      <c r="E201" s="14">
        <v>13713335.27532181</v>
      </c>
      <c r="F201" s="17">
        <f>E201/E200-1</f>
        <v>0</v>
      </c>
      <c r="G201" s="14">
        <v>15384733.85584913</v>
      </c>
      <c r="H201" s="17">
        <f>G201/G200-1</f>
        <v>0</v>
      </c>
      <c r="I201" s="14">
        <f>MAX(I200,B201)</f>
        <v>0</v>
      </c>
      <c r="J201" s="17">
        <f>B201/I201-1</f>
        <v>0</v>
      </c>
    </row>
    <row r="202" spans="1:10">
      <c r="A202" s="6">
        <v>44488</v>
      </c>
      <c r="B202" s="14">
        <v>16068923.06653081</v>
      </c>
      <c r="D202" s="17">
        <f>B202/B201-1</f>
        <v>0</v>
      </c>
      <c r="E202" s="14">
        <v>13603235.74355835</v>
      </c>
      <c r="F202" s="17">
        <f>E202/E201-1</f>
        <v>0</v>
      </c>
      <c r="G202" s="14">
        <v>15123456.50780908</v>
      </c>
      <c r="H202" s="17">
        <f>G202/G201-1</f>
        <v>0</v>
      </c>
      <c r="I202" s="14">
        <f>MAX(I201,B202)</f>
        <v>0</v>
      </c>
      <c r="J202" s="17">
        <f>B202/I202-1</f>
        <v>0</v>
      </c>
    </row>
    <row r="203" spans="1:10">
      <c r="A203" s="6">
        <v>44489</v>
      </c>
      <c r="B203" s="14">
        <v>15643460.3449369</v>
      </c>
      <c r="D203" s="17">
        <f>B203/B202-1</f>
        <v>0</v>
      </c>
      <c r="E203" s="14">
        <v>13440554.02447059</v>
      </c>
      <c r="F203" s="17">
        <f>E203/E202-1</f>
        <v>0</v>
      </c>
      <c r="G203" s="14">
        <v>14878737.65858683</v>
      </c>
      <c r="H203" s="17">
        <f>G203/G202-1</f>
        <v>0</v>
      </c>
      <c r="I203" s="14">
        <f>MAX(I202,B203)</f>
        <v>0</v>
      </c>
      <c r="J203" s="17">
        <f>B203/I203-1</f>
        <v>0</v>
      </c>
    </row>
    <row r="204" spans="1:10">
      <c r="A204" s="6">
        <v>44490</v>
      </c>
      <c r="B204" s="14">
        <v>15193329.82991318</v>
      </c>
      <c r="D204" s="17">
        <f>B204/B203-1</f>
        <v>0</v>
      </c>
      <c r="E204" s="14">
        <v>13371266.03213133</v>
      </c>
      <c r="F204" s="17">
        <f>E204/E203-1</f>
        <v>0</v>
      </c>
      <c r="G204" s="14">
        <v>14812923.13474123</v>
      </c>
      <c r="H204" s="17">
        <f>G204/G203-1</f>
        <v>0</v>
      </c>
      <c r="I204" s="14">
        <f>MAX(I203,B204)</f>
        <v>0</v>
      </c>
      <c r="J204" s="17">
        <f>B204/I204-1</f>
        <v>0</v>
      </c>
    </row>
    <row r="205" spans="1:10">
      <c r="A205" s="6">
        <v>44491</v>
      </c>
      <c r="B205" s="14">
        <v>14965259.63718503</v>
      </c>
      <c r="D205" s="17">
        <f>B205/B204-1</f>
        <v>0</v>
      </c>
      <c r="E205" s="14">
        <v>13295970.94054334</v>
      </c>
      <c r="F205" s="17">
        <f>E205/E204-1</f>
        <v>0</v>
      </c>
      <c r="G205" s="14">
        <v>14676172.73193873</v>
      </c>
      <c r="H205" s="17">
        <f>G205/G204-1</f>
        <v>0</v>
      </c>
      <c r="I205" s="14">
        <f>MAX(I204,B205)</f>
        <v>0</v>
      </c>
      <c r="J205" s="17">
        <f>B205/I205-1</f>
        <v>0</v>
      </c>
    </row>
    <row r="206" spans="1:10">
      <c r="A206" s="6">
        <v>44494</v>
      </c>
      <c r="B206" s="14">
        <v>14650028.27936903</v>
      </c>
      <c r="D206" s="17">
        <f>B206/B205-1</f>
        <v>0</v>
      </c>
      <c r="E206" s="14">
        <v>13240180.93867285</v>
      </c>
      <c r="F206" s="17">
        <f>E206/E205-1</f>
        <v>0</v>
      </c>
      <c r="G206" s="14">
        <v>14477955.54373456</v>
      </c>
      <c r="H206" s="17">
        <f>G206/G205-1</f>
        <v>0</v>
      </c>
      <c r="I206" s="14">
        <f>MAX(I205,B206)</f>
        <v>0</v>
      </c>
      <c r="J206" s="17">
        <f>B206/I206-1</f>
        <v>0</v>
      </c>
    </row>
    <row r="207" spans="1:10">
      <c r="A207" s="6">
        <v>44495</v>
      </c>
      <c r="B207" s="14">
        <v>14892450.24989595</v>
      </c>
      <c r="D207" s="17">
        <f>B207/B206-1</f>
        <v>0</v>
      </c>
      <c r="E207" s="14">
        <v>13383537.54547395</v>
      </c>
      <c r="F207" s="17">
        <f>E207/E206-1</f>
        <v>0</v>
      </c>
      <c r="G207" s="14">
        <v>14684539.93399284</v>
      </c>
      <c r="H207" s="17">
        <f>G207/G206-1</f>
        <v>0</v>
      </c>
      <c r="I207" s="14">
        <f>MAX(I206,B207)</f>
        <v>0</v>
      </c>
      <c r="J207" s="17">
        <f>B207/I207-1</f>
        <v>0</v>
      </c>
    </row>
    <row r="208" spans="1:10">
      <c r="A208" s="6">
        <v>44496</v>
      </c>
      <c r="B208" s="14">
        <v>15068725.38968681</v>
      </c>
      <c r="D208" s="17">
        <f>B208/B207-1</f>
        <v>0</v>
      </c>
      <c r="E208" s="14">
        <v>13370963.0374753</v>
      </c>
      <c r="F208" s="17">
        <f>E208/E207-1</f>
        <v>0</v>
      </c>
      <c r="G208" s="14">
        <v>14734161.05053665</v>
      </c>
      <c r="H208" s="17">
        <f>G208/G207-1</f>
        <v>0</v>
      </c>
      <c r="I208" s="14">
        <f>MAX(I207,B208)</f>
        <v>0</v>
      </c>
      <c r="J208" s="17">
        <f>B208/I208-1</f>
        <v>0</v>
      </c>
    </row>
    <row r="209" spans="1:10">
      <c r="A209" s="6">
        <v>44497</v>
      </c>
      <c r="B209" s="14">
        <v>14939000.86285964</v>
      </c>
      <c r="D209" s="17">
        <f>B209/B208-1</f>
        <v>0</v>
      </c>
      <c r="E209" s="14">
        <v>13118158.19446258</v>
      </c>
      <c r="F209" s="17">
        <f>E209/E208-1</f>
        <v>0</v>
      </c>
      <c r="G209" s="14">
        <v>14494887.03825837</v>
      </c>
      <c r="H209" s="17">
        <f>G209/G208-1</f>
        <v>0</v>
      </c>
      <c r="I209" s="14">
        <f>MAX(I208,B209)</f>
        <v>0</v>
      </c>
      <c r="J209" s="17">
        <f>B209/I209-1</f>
        <v>0</v>
      </c>
    </row>
    <row r="210" spans="1:10">
      <c r="A210" s="6">
        <v>44498</v>
      </c>
      <c r="B210" s="14">
        <v>14936944.78926305</v>
      </c>
      <c r="D210" s="17">
        <f>B210/B209-1</f>
        <v>0</v>
      </c>
      <c r="E210" s="14">
        <v>13029016.83642461</v>
      </c>
      <c r="F210" s="17">
        <f>E210/E209-1</f>
        <v>0</v>
      </c>
      <c r="G210" s="14">
        <v>14490348.51535268</v>
      </c>
      <c r="H210" s="17">
        <f>G210/G209-1</f>
        <v>0</v>
      </c>
      <c r="I210" s="14">
        <f>MAX(I209,B210)</f>
        <v>0</v>
      </c>
      <c r="J210" s="17">
        <f>B210/I210-1</f>
        <v>0</v>
      </c>
    </row>
    <row r="211" spans="1:10">
      <c r="A211" s="6">
        <v>44501</v>
      </c>
      <c r="B211" s="14">
        <v>15301937.09954139</v>
      </c>
      <c r="D211" s="17">
        <f>B211/B210-1</f>
        <v>0</v>
      </c>
      <c r="E211" s="14">
        <v>13216001.54313587</v>
      </c>
      <c r="F211" s="17">
        <f>E211/E210-1</f>
        <v>0</v>
      </c>
      <c r="G211" s="14">
        <v>14670220.13240318</v>
      </c>
      <c r="H211" s="17">
        <f>G211/G210-1</f>
        <v>0</v>
      </c>
      <c r="I211" s="14">
        <f>MAX(I210,B211)</f>
        <v>0</v>
      </c>
      <c r="J211" s="17">
        <f>B211/I211-1</f>
        <v>0</v>
      </c>
    </row>
    <row r="212" spans="1:10">
      <c r="A212" s="6">
        <v>44502</v>
      </c>
      <c r="B212" s="14">
        <v>15417758.65306199</v>
      </c>
      <c r="D212" s="17">
        <f>B212/B211-1</f>
        <v>0</v>
      </c>
      <c r="E212" s="14">
        <v>13226951.52568794</v>
      </c>
      <c r="F212" s="17">
        <f>E212/E211-1</f>
        <v>0</v>
      </c>
      <c r="G212" s="14">
        <v>14772631.06826482</v>
      </c>
      <c r="H212" s="17">
        <f>G212/G211-1</f>
        <v>0</v>
      </c>
      <c r="I212" s="14">
        <f>MAX(I211,B212)</f>
        <v>0</v>
      </c>
      <c r="J212" s="17">
        <f>B212/I212-1</f>
        <v>0</v>
      </c>
    </row>
    <row r="213" spans="1:10">
      <c r="A213" s="6">
        <v>44503</v>
      </c>
      <c r="B213" s="14">
        <v>15456236.98344492</v>
      </c>
      <c r="D213" s="17">
        <f>B213/B212-1</f>
        <v>0</v>
      </c>
      <c r="E213" s="14">
        <v>13200029.66306993</v>
      </c>
      <c r="F213" s="17">
        <f>E213/E212-1</f>
        <v>0</v>
      </c>
      <c r="G213" s="14">
        <v>14762549.84094229</v>
      </c>
      <c r="H213" s="17">
        <f>G213/G212-1</f>
        <v>0</v>
      </c>
      <c r="I213" s="14">
        <f>MAX(I212,B213)</f>
        <v>0</v>
      </c>
      <c r="J213" s="17">
        <f>B213/I213-1</f>
        <v>0</v>
      </c>
    </row>
    <row r="214" spans="1:10">
      <c r="A214" s="6">
        <v>44504</v>
      </c>
      <c r="B214" s="14">
        <v>15631696.82267617</v>
      </c>
      <c r="D214" s="17">
        <f>B214/B213-1</f>
        <v>0</v>
      </c>
      <c r="E214" s="14">
        <v>13281977.89036062</v>
      </c>
      <c r="F214" s="17">
        <f>E214/E213-1</f>
        <v>0</v>
      </c>
      <c r="G214" s="14">
        <v>14904904.31844817</v>
      </c>
      <c r="H214" s="17">
        <f>G214/G213-1</f>
        <v>0</v>
      </c>
      <c r="I214" s="14">
        <f>MAX(I213,B214)</f>
        <v>0</v>
      </c>
      <c r="J214" s="17">
        <f>B214/I214-1</f>
        <v>0</v>
      </c>
    </row>
    <row r="215" spans="1:10">
      <c r="A215" s="6">
        <v>44508</v>
      </c>
      <c r="B215" s="14">
        <v>15948428.10256118</v>
      </c>
      <c r="D215" s="17">
        <f>B215/B214-1</f>
        <v>0</v>
      </c>
      <c r="E215" s="14">
        <v>13406344.23152201</v>
      </c>
      <c r="F215" s="17">
        <f>E215/E214-1</f>
        <v>0</v>
      </c>
      <c r="G215" s="14">
        <v>15053015.97040155</v>
      </c>
      <c r="H215" s="17">
        <f>G215/G214-1</f>
        <v>0</v>
      </c>
      <c r="I215" s="14">
        <f>MAX(I214,B215)</f>
        <v>0</v>
      </c>
      <c r="J215" s="17">
        <f>B215/I215-1</f>
        <v>0</v>
      </c>
    </row>
    <row r="216" spans="1:10">
      <c r="A216" s="6">
        <v>44509</v>
      </c>
      <c r="B216" s="14">
        <v>16020335.31296107</v>
      </c>
      <c r="D216" s="17">
        <f>B216/B215-1</f>
        <v>0</v>
      </c>
      <c r="E216" s="14">
        <v>13425813.35398596</v>
      </c>
      <c r="F216" s="17">
        <f>E216/E215-1</f>
        <v>0</v>
      </c>
      <c r="G216" s="14">
        <v>15127568.80183238</v>
      </c>
      <c r="H216" s="17">
        <f>G216/G215-1</f>
        <v>0</v>
      </c>
      <c r="I216" s="14">
        <f>MAX(I215,B216)</f>
        <v>0</v>
      </c>
      <c r="J216" s="17">
        <f>B216/I216-1</f>
        <v>0</v>
      </c>
    </row>
    <row r="217" spans="1:10">
      <c r="A217" s="6">
        <v>44510</v>
      </c>
      <c r="B217" s="14">
        <v>15916385.02194609</v>
      </c>
      <c r="D217" s="17">
        <f>B217/B216-1</f>
        <v>0</v>
      </c>
      <c r="E217" s="14">
        <v>13408441.0343584</v>
      </c>
      <c r="F217" s="17">
        <f>E217/E216-1</f>
        <v>0</v>
      </c>
      <c r="G217" s="14">
        <v>15094813.42347989</v>
      </c>
      <c r="H217" s="17">
        <f>G217/G216-1</f>
        <v>0</v>
      </c>
      <c r="I217" s="14">
        <f>MAX(I216,B217)</f>
        <v>0</v>
      </c>
      <c r="J217" s="17">
        <f>B217/I217-1</f>
        <v>0</v>
      </c>
    </row>
    <row r="218" spans="1:10">
      <c r="A218" s="6">
        <v>44511</v>
      </c>
      <c r="B218" s="14">
        <v>16027743.35064856</v>
      </c>
      <c r="D218" s="17">
        <f>B218/B217-1</f>
        <v>0</v>
      </c>
      <c r="E218" s="14">
        <v>13314052.21061968</v>
      </c>
      <c r="F218" s="17">
        <f>E218/E217-1</f>
        <v>0</v>
      </c>
      <c r="G218" s="14">
        <v>15007279.33876887</v>
      </c>
      <c r="H218" s="17">
        <f>G218/G217-1</f>
        <v>0</v>
      </c>
      <c r="I218" s="14">
        <f>MAX(I217,B218)</f>
        <v>0</v>
      </c>
      <c r="J218" s="17">
        <f>B218/I218-1</f>
        <v>0</v>
      </c>
    </row>
    <row r="219" spans="1:10">
      <c r="A219" s="6">
        <v>44512</v>
      </c>
      <c r="B219" s="14">
        <v>16183505.96101196</v>
      </c>
      <c r="D219" s="17">
        <f>B219/B218-1</f>
        <v>0</v>
      </c>
      <c r="E219" s="14">
        <v>13459739.753971</v>
      </c>
      <c r="F219" s="17">
        <f>E219/E218-1</f>
        <v>0</v>
      </c>
      <c r="G219" s="14">
        <v>15086423.6385649</v>
      </c>
      <c r="H219" s="17">
        <f>G219/G218-1</f>
        <v>0</v>
      </c>
      <c r="I219" s="14">
        <f>MAX(I218,B219)</f>
        <v>0</v>
      </c>
      <c r="J219" s="17">
        <f>B219/I219-1</f>
        <v>0</v>
      </c>
    </row>
    <row r="220" spans="1:10">
      <c r="A220" s="6">
        <v>44515</v>
      </c>
      <c r="B220" s="14">
        <v>16476959.26215344</v>
      </c>
      <c r="D220" s="17">
        <f>B220/B219-1</f>
        <v>0</v>
      </c>
      <c r="E220" s="14">
        <v>13472130.30580493</v>
      </c>
      <c r="F220" s="17">
        <f>E220/E219-1</f>
        <v>0</v>
      </c>
      <c r="G220" s="14">
        <v>15082742.64305793</v>
      </c>
      <c r="H220" s="17">
        <f>G220/G219-1</f>
        <v>0</v>
      </c>
      <c r="I220" s="14">
        <f>MAX(I219,B220)</f>
        <v>0</v>
      </c>
      <c r="J220" s="17">
        <f>B220/I220-1</f>
        <v>0</v>
      </c>
    </row>
    <row r="221" spans="1:10">
      <c r="A221" s="6">
        <v>44516</v>
      </c>
      <c r="B221" s="14">
        <v>16461538.24669045</v>
      </c>
      <c r="D221" s="17">
        <f>B221/B220-1</f>
        <v>0</v>
      </c>
      <c r="E221" s="14">
        <v>13414711.17536977</v>
      </c>
      <c r="F221" s="17">
        <f>E221/E220-1</f>
        <v>0</v>
      </c>
      <c r="G221" s="14">
        <v>15064413.9238232</v>
      </c>
      <c r="H221" s="17">
        <f>G221/G220-1</f>
        <v>0</v>
      </c>
      <c r="I221" s="14">
        <f>MAX(I220,B221)</f>
        <v>0</v>
      </c>
      <c r="J221" s="17">
        <f>B221/I221-1</f>
        <v>0</v>
      </c>
    </row>
    <row r="222" spans="1:10">
      <c r="A222" s="6">
        <v>44517</v>
      </c>
      <c r="B222" s="14">
        <v>16728856.85934347</v>
      </c>
      <c r="D222" s="17">
        <f>B222/B221-1</f>
        <v>0</v>
      </c>
      <c r="E222" s="14">
        <v>13354477.52994127</v>
      </c>
      <c r="F222" s="17">
        <f>E222/E221-1</f>
        <v>0</v>
      </c>
      <c r="G222" s="14">
        <v>15026265.72497172</v>
      </c>
      <c r="H222" s="17">
        <f>G222/G221-1</f>
        <v>0</v>
      </c>
      <c r="I222" s="14">
        <f>MAX(I221,B222)</f>
        <v>0</v>
      </c>
      <c r="J222" s="17">
        <f>B222/I222-1</f>
        <v>0</v>
      </c>
    </row>
    <row r="223" spans="1:10">
      <c r="A223" s="6">
        <v>44518</v>
      </c>
      <c r="B223" s="14">
        <v>16360446.76236612</v>
      </c>
      <c r="D223" s="17">
        <f>B223/B222-1</f>
        <v>0</v>
      </c>
      <c r="E223" s="14">
        <v>13223425.70908792</v>
      </c>
      <c r="F223" s="17">
        <f>E223/E222-1</f>
        <v>0</v>
      </c>
      <c r="G223" s="14">
        <v>14812957.77719764</v>
      </c>
      <c r="H223" s="17">
        <f>G223/G222-1</f>
        <v>0</v>
      </c>
      <c r="I223" s="14">
        <f>MAX(I222,B223)</f>
        <v>0</v>
      </c>
      <c r="J223" s="17">
        <f>B223/I223-1</f>
        <v>0</v>
      </c>
    </row>
    <row r="224" spans="1:10">
      <c r="A224" s="6">
        <v>44522</v>
      </c>
      <c r="B224" s="14">
        <v>15785595.98109783</v>
      </c>
      <c r="D224" s="17">
        <f>B224/B223-1</f>
        <v>0</v>
      </c>
      <c r="E224" s="14">
        <v>12942478.26300606</v>
      </c>
      <c r="F224" s="17">
        <f>E224/E223-1</f>
        <v>0</v>
      </c>
      <c r="G224" s="14">
        <v>14449599.20442288</v>
      </c>
      <c r="H224" s="17">
        <f>G224/G223-1</f>
        <v>0</v>
      </c>
      <c r="I224" s="14">
        <f>MAX(I223,B224)</f>
        <v>0</v>
      </c>
      <c r="J224" s="17">
        <f>B224/I224-1</f>
        <v>0</v>
      </c>
    </row>
    <row r="225" spans="1:10">
      <c r="A225" s="6">
        <v>44523</v>
      </c>
      <c r="B225" s="14">
        <v>16028972.57396056</v>
      </c>
      <c r="D225" s="17">
        <f>B225/B224-1</f>
        <v>0</v>
      </c>
      <c r="E225" s="14">
        <v>13056387.47463746</v>
      </c>
      <c r="F225" s="17">
        <f>E225/E224-1</f>
        <v>0</v>
      </c>
      <c r="G225" s="14">
        <v>14652474.65650326</v>
      </c>
      <c r="H225" s="17">
        <f>G225/G224-1</f>
        <v>0</v>
      </c>
      <c r="I225" s="14">
        <f>MAX(I224,B225)</f>
        <v>0</v>
      </c>
      <c r="J225" s="17">
        <f>B225/I225-1</f>
        <v>0</v>
      </c>
    </row>
    <row r="226" spans="1:10">
      <c r="A226" s="6">
        <v>44524</v>
      </c>
      <c r="B226" s="14">
        <v>15868318.80214635</v>
      </c>
      <c r="D226" s="17">
        <f>B226/B225-1</f>
        <v>0</v>
      </c>
      <c r="E226" s="14">
        <v>13004032.9955853</v>
      </c>
      <c r="F226" s="17">
        <f>E226/E225-1</f>
        <v>0</v>
      </c>
      <c r="G226" s="14">
        <v>14660413.52282269</v>
      </c>
      <c r="H226" s="17">
        <f>G226/G225-1</f>
        <v>0</v>
      </c>
      <c r="I226" s="14">
        <f>MAX(I225,B226)</f>
        <v>0</v>
      </c>
      <c r="J226" s="17">
        <f>B226/I226-1</f>
        <v>0</v>
      </c>
    </row>
    <row r="227" spans="1:10">
      <c r="A227" s="6">
        <v>44525</v>
      </c>
      <c r="B227" s="14">
        <v>15958118.13985611</v>
      </c>
      <c r="D227" s="17">
        <f>B227/B226-1</f>
        <v>0</v>
      </c>
      <c r="E227" s="14">
        <v>13094620.98247803</v>
      </c>
      <c r="F227" s="17">
        <f>E227/E226-1</f>
        <v>0</v>
      </c>
      <c r="G227" s="14">
        <v>14715920.16655052</v>
      </c>
      <c r="H227" s="17">
        <f>G227/G226-1</f>
        <v>0</v>
      </c>
      <c r="I227" s="14">
        <f>MAX(I226,B227)</f>
        <v>0</v>
      </c>
      <c r="J227" s="17">
        <f>B227/I227-1</f>
        <v>0</v>
      </c>
    </row>
    <row r="228" spans="1:10">
      <c r="A228" s="6">
        <v>44526</v>
      </c>
      <c r="B228" s="14">
        <v>15511791.48900928</v>
      </c>
      <c r="D228" s="17">
        <f>B228/B227-1</f>
        <v>0</v>
      </c>
      <c r="E228" s="14">
        <v>12712015.65906779</v>
      </c>
      <c r="F228" s="17">
        <f>E228/E227-1</f>
        <v>0</v>
      </c>
      <c r="G228" s="14">
        <v>14318481.77370746</v>
      </c>
      <c r="H228" s="17">
        <f>G228/G227-1</f>
        <v>0</v>
      </c>
      <c r="I228" s="14">
        <f>MAX(I227,B228)</f>
        <v>0</v>
      </c>
      <c r="J228" s="17">
        <f>B228/I228-1</f>
        <v>0</v>
      </c>
    </row>
    <row r="229" spans="1:10">
      <c r="A229" s="6">
        <v>44529</v>
      </c>
      <c r="B229" s="14">
        <v>15214566.63473679</v>
      </c>
      <c r="D229" s="17">
        <f>B229/B228-1</f>
        <v>0</v>
      </c>
      <c r="E229" s="14">
        <v>12668755.758015</v>
      </c>
      <c r="F229" s="17">
        <f>E229/E228-1</f>
        <v>0</v>
      </c>
      <c r="G229" s="14">
        <v>14132756.26362734</v>
      </c>
      <c r="H229" s="17">
        <f>G229/G228-1</f>
        <v>0</v>
      </c>
      <c r="I229" s="14">
        <f>MAX(I228,B229)</f>
        <v>0</v>
      </c>
      <c r="J229" s="17">
        <f>B229/I229-1</f>
        <v>0</v>
      </c>
    </row>
    <row r="230" spans="1:10">
      <c r="A230" s="6">
        <v>44530</v>
      </c>
      <c r="B230" s="14">
        <v>15465000.84345294</v>
      </c>
      <c r="D230" s="17">
        <f>B230/B229-1</f>
        <v>0</v>
      </c>
      <c r="E230" s="14">
        <v>12662357.04025407</v>
      </c>
      <c r="F230" s="17">
        <f>E230/E229-1</f>
        <v>0</v>
      </c>
      <c r="G230" s="14">
        <v>14258745.72751864</v>
      </c>
      <c r="H230" s="17">
        <f>G230/G229-1</f>
        <v>0</v>
      </c>
      <c r="I230" s="14">
        <f>MAX(I229,B230)</f>
        <v>0</v>
      </c>
      <c r="J230" s="17">
        <f>B230/I230-1</f>
        <v>0</v>
      </c>
    </row>
    <row r="231" spans="1:10">
      <c r="A231" s="6">
        <v>44531</v>
      </c>
      <c r="B231" s="14">
        <v>15318115.37242283</v>
      </c>
      <c r="D231" s="17">
        <f>B231/B230-1</f>
        <v>0</v>
      </c>
      <c r="E231" s="14">
        <v>12780824.46862579</v>
      </c>
      <c r="F231" s="17">
        <f>E231/E230-1</f>
        <v>0</v>
      </c>
      <c r="G231" s="14">
        <v>14330219.56257598</v>
      </c>
      <c r="H231" s="17">
        <f>G231/G230-1</f>
        <v>0</v>
      </c>
      <c r="I231" s="14">
        <f>MAX(I230,B231)</f>
        <v>0</v>
      </c>
      <c r="J231" s="17">
        <f>B231/I231-1</f>
        <v>0</v>
      </c>
    </row>
    <row r="232" spans="1:10">
      <c r="A232" s="6">
        <v>44532</v>
      </c>
      <c r="B232" s="14">
        <v>15595762.27903892</v>
      </c>
      <c r="D232" s="17">
        <f>B232/B231-1</f>
        <v>0</v>
      </c>
      <c r="E232" s="14">
        <v>12945032.67881523</v>
      </c>
      <c r="F232" s="17">
        <f>E232/E231-1</f>
        <v>0</v>
      </c>
      <c r="G232" s="14">
        <v>14491815.42116051</v>
      </c>
      <c r="H232" s="17">
        <f>G232/G231-1</f>
        <v>0</v>
      </c>
      <c r="I232" s="14">
        <f>MAX(I231,B232)</f>
        <v>0</v>
      </c>
      <c r="J232" s="17">
        <f>B232/I232-1</f>
        <v>0</v>
      </c>
    </row>
    <row r="233" spans="1:10">
      <c r="A233" s="6">
        <v>44533</v>
      </c>
      <c r="B233" s="14">
        <v>15627473.73209373</v>
      </c>
      <c r="D233" s="17">
        <f>B233/B232-1</f>
        <v>0</v>
      </c>
      <c r="E233" s="14">
        <v>12843939.93190861</v>
      </c>
      <c r="F233" s="17">
        <f>E233/E232-1</f>
        <v>0</v>
      </c>
      <c r="G233" s="14">
        <v>14477968.16515795</v>
      </c>
      <c r="H233" s="17">
        <f>G233/G232-1</f>
        <v>0</v>
      </c>
      <c r="I233" s="14">
        <f>MAX(I232,B233)</f>
        <v>0</v>
      </c>
      <c r="J233" s="17">
        <f>B233/I233-1</f>
        <v>0</v>
      </c>
    </row>
    <row r="234" spans="1:10">
      <c r="A234" s="6">
        <v>44536</v>
      </c>
      <c r="B234" s="14">
        <v>15324270.67364613</v>
      </c>
      <c r="D234" s="17">
        <f>B234/B233-1</f>
        <v>0</v>
      </c>
      <c r="E234" s="14">
        <v>12638832.89300951</v>
      </c>
      <c r="F234" s="17">
        <f>E234/E233-1</f>
        <v>0</v>
      </c>
      <c r="G234" s="14">
        <v>14277487.01957475</v>
      </c>
      <c r="H234" s="17">
        <f>G234/G233-1</f>
        <v>0</v>
      </c>
      <c r="I234" s="14">
        <f>MAX(I233,B234)</f>
        <v>0</v>
      </c>
      <c r="J234" s="17">
        <f>B234/I234-1</f>
        <v>0</v>
      </c>
    </row>
    <row r="235" spans="1:10">
      <c r="A235" s="6">
        <v>44537</v>
      </c>
      <c r="B235" s="14">
        <v>15491705.82536155</v>
      </c>
      <c r="D235" s="17">
        <f>B235/B234-1</f>
        <v>0</v>
      </c>
      <c r="E235" s="14">
        <v>12826315.52832113</v>
      </c>
      <c r="F235" s="17">
        <f>E235/E234-1</f>
        <v>0</v>
      </c>
      <c r="G235" s="14">
        <v>14449587.15776145</v>
      </c>
      <c r="H235" s="17">
        <f>G235/G234-1</f>
        <v>0</v>
      </c>
      <c r="I235" s="14">
        <f>MAX(I234,B235)</f>
        <v>0</v>
      </c>
      <c r="J235" s="17">
        <f>B235/I235-1</f>
        <v>0</v>
      </c>
    </row>
    <row r="236" spans="1:10">
      <c r="A236" s="6">
        <v>44538</v>
      </c>
      <c r="B236" s="14">
        <v>15696537.18167342</v>
      </c>
      <c r="D236" s="17">
        <f>B236/B235-1</f>
        <v>0</v>
      </c>
      <c r="E236" s="14">
        <v>13033356.1028436</v>
      </c>
      <c r="F236" s="17">
        <f>E236/E235-1</f>
        <v>0</v>
      </c>
      <c r="G236" s="14">
        <v>14646182.8560697</v>
      </c>
      <c r="H236" s="17">
        <f>G236/G235-1</f>
        <v>0</v>
      </c>
      <c r="I236" s="14">
        <f>MAX(I235,B236)</f>
        <v>0</v>
      </c>
      <c r="J236" s="17">
        <f>B236/I236-1</f>
        <v>0</v>
      </c>
    </row>
    <row r="237" spans="1:10">
      <c r="A237" s="6">
        <v>44539</v>
      </c>
      <c r="B237" s="14">
        <v>15745317.94679436</v>
      </c>
      <c r="D237" s="17">
        <f>B237/B236-1</f>
        <v>0</v>
      </c>
      <c r="E237" s="14">
        <v>13080106.43595642</v>
      </c>
      <c r="F237" s="17">
        <f>E237/E236-1</f>
        <v>0</v>
      </c>
      <c r="G237" s="14">
        <v>14726785.84696253</v>
      </c>
      <c r="H237" s="17">
        <f>G237/G236-1</f>
        <v>0</v>
      </c>
      <c r="I237" s="14">
        <f>MAX(I236,B237)</f>
        <v>0</v>
      </c>
      <c r="J237" s="17">
        <f>B237/I237-1</f>
        <v>0</v>
      </c>
    </row>
    <row r="238" spans="1:10">
      <c r="A238" s="6">
        <v>44540</v>
      </c>
      <c r="B238" s="14">
        <v>15919563.34828453</v>
      </c>
      <c r="D238" s="17">
        <f>B238/B237-1</f>
        <v>0</v>
      </c>
      <c r="E238" s="14">
        <v>13105287.37082051</v>
      </c>
      <c r="F238" s="17">
        <f>E238/E237-1</f>
        <v>0</v>
      </c>
      <c r="G238" s="14">
        <v>14808469.37731164</v>
      </c>
      <c r="H238" s="17">
        <f>G238/G237-1</f>
        <v>0</v>
      </c>
      <c r="I238" s="14">
        <f>MAX(I237,B238)</f>
        <v>0</v>
      </c>
      <c r="J238" s="17">
        <f>B238/I238-1</f>
        <v>0</v>
      </c>
    </row>
    <row r="239" spans="1:10">
      <c r="A239" s="6">
        <v>44543</v>
      </c>
      <c r="B239" s="14">
        <v>15877068.34814875</v>
      </c>
      <c r="D239" s="17">
        <f>B239/B238-1</f>
        <v>0</v>
      </c>
      <c r="E239" s="14">
        <v>13027435.36291227</v>
      </c>
      <c r="F239" s="17">
        <f>E239/E238-1</f>
        <v>0</v>
      </c>
      <c r="G239" s="14">
        <v>14764814.74245967</v>
      </c>
      <c r="H239" s="17">
        <f>G239/G238-1</f>
        <v>0</v>
      </c>
      <c r="I239" s="14">
        <f>MAX(I238,B239)</f>
        <v>0</v>
      </c>
      <c r="J239" s="17">
        <f>B239/I239-1</f>
        <v>0</v>
      </c>
    </row>
    <row r="240" spans="1:10">
      <c r="A240" s="6">
        <v>44544</v>
      </c>
      <c r="B240" s="14">
        <v>15853477.60246755</v>
      </c>
      <c r="D240" s="17">
        <f>B240/B239-1</f>
        <v>0</v>
      </c>
      <c r="E240" s="14">
        <v>13009895.09546458</v>
      </c>
      <c r="F240" s="17">
        <f>E240/E239-1</f>
        <v>0</v>
      </c>
      <c r="G240" s="14">
        <v>14761474.8733924</v>
      </c>
      <c r="H240" s="17">
        <f>G240/G239-1</f>
        <v>0</v>
      </c>
      <c r="I240" s="14">
        <f>MAX(I239,B240)</f>
        <v>0</v>
      </c>
      <c r="J240" s="17">
        <f>B240/I240-1</f>
        <v>0</v>
      </c>
    </row>
    <row r="241" spans="1:10">
      <c r="A241" s="6">
        <v>44545</v>
      </c>
      <c r="B241" s="14">
        <v>15707812.13510787</v>
      </c>
      <c r="D241" s="17">
        <f>B241/B240-1</f>
        <v>0</v>
      </c>
      <c r="E241" s="14">
        <v>12932549.60506545</v>
      </c>
      <c r="F241" s="17">
        <f>E241/E240-1</f>
        <v>0</v>
      </c>
      <c r="G241" s="14">
        <v>14683249.81411436</v>
      </c>
      <c r="H241" s="17">
        <f>G241/G240-1</f>
        <v>0</v>
      </c>
      <c r="I241" s="14">
        <f>MAX(I240,B241)</f>
        <v>0</v>
      </c>
      <c r="J241" s="17">
        <f>B241/I241-1</f>
        <v>0</v>
      </c>
    </row>
    <row r="242" spans="1:10">
      <c r="A242" s="6">
        <v>44546</v>
      </c>
      <c r="B242" s="14">
        <v>15786690.8093678</v>
      </c>
      <c r="D242" s="17">
        <f>B242/B241-1</f>
        <v>0</v>
      </c>
      <c r="E242" s="14">
        <v>12918765.79260213</v>
      </c>
      <c r="F242" s="17">
        <f>E242/E241-1</f>
        <v>0</v>
      </c>
      <c r="G242" s="14">
        <v>14606194.99969113</v>
      </c>
      <c r="H242" s="17">
        <f>G242/G241-1</f>
        <v>0</v>
      </c>
      <c r="I242" s="14">
        <f>MAX(I241,B242)</f>
        <v>0</v>
      </c>
      <c r="J242" s="17">
        <f>B242/I242-1</f>
        <v>0</v>
      </c>
    </row>
    <row r="243" spans="1:10">
      <c r="A243" s="6">
        <v>44547</v>
      </c>
      <c r="B243" s="14">
        <v>15450841.766557</v>
      </c>
      <c r="D243" s="17">
        <f>B243/B242-1</f>
        <v>0</v>
      </c>
      <c r="E243" s="14">
        <v>12691648.91608121</v>
      </c>
      <c r="F243" s="17">
        <f>E243/E242-1</f>
        <v>0</v>
      </c>
      <c r="G243" s="14">
        <v>14315824.54139226</v>
      </c>
      <c r="H243" s="17">
        <f>G243/G242-1</f>
        <v>0</v>
      </c>
      <c r="I243" s="14">
        <f>MAX(I242,B243)</f>
        <v>0</v>
      </c>
      <c r="J243" s="17">
        <f>B243/I243-1</f>
        <v>0</v>
      </c>
    </row>
    <row r="244" spans="1:10">
      <c r="A244" s="6">
        <v>44550</v>
      </c>
      <c r="B244" s="14">
        <v>14746600.7874038</v>
      </c>
      <c r="D244" s="17">
        <f>B244/B243-1</f>
        <v>0</v>
      </c>
      <c r="E244" s="14">
        <v>12370099.75555812</v>
      </c>
      <c r="F244" s="17">
        <f>E244/E243-1</f>
        <v>0</v>
      </c>
      <c r="G244" s="14">
        <v>13875377.98649101</v>
      </c>
      <c r="H244" s="17">
        <f>G244/G243-1</f>
        <v>0</v>
      </c>
      <c r="I244" s="14">
        <f>MAX(I243,B244)</f>
        <v>0</v>
      </c>
      <c r="J244" s="17">
        <f>B244/I244-1</f>
        <v>0</v>
      </c>
    </row>
    <row r="245" spans="1:10">
      <c r="A245" s="6">
        <v>44551</v>
      </c>
      <c r="B245" s="14">
        <v>15188304.61404099</v>
      </c>
      <c r="D245" s="17">
        <f>B245/B244-1</f>
        <v>0</v>
      </c>
      <c r="E245" s="14">
        <v>12509694.41042268</v>
      </c>
      <c r="F245" s="17">
        <f>E245/E244-1</f>
        <v>0</v>
      </c>
      <c r="G245" s="14">
        <v>14058648.2554348</v>
      </c>
      <c r="H245" s="17">
        <f>G245/G244-1</f>
        <v>0</v>
      </c>
      <c r="I245" s="14">
        <f>MAX(I244,B245)</f>
        <v>0</v>
      </c>
      <c r="J245" s="17">
        <f>B245/I245-1</f>
        <v>0</v>
      </c>
    </row>
    <row r="246" spans="1:10">
      <c r="A246" s="6">
        <v>44552</v>
      </c>
      <c r="B246" s="14">
        <v>15395056.55226163</v>
      </c>
      <c r="D246" s="17">
        <f>B246/B245-1</f>
        <v>0</v>
      </c>
      <c r="E246" s="14">
        <v>12664569.71318484</v>
      </c>
      <c r="F246" s="17">
        <f>E246/E245-1</f>
        <v>0</v>
      </c>
      <c r="G246" s="14">
        <v>14258810.69497381</v>
      </c>
      <c r="H246" s="17">
        <f>G246/G245-1</f>
        <v>0</v>
      </c>
      <c r="I246" s="14">
        <f>MAX(I245,B246)</f>
        <v>0</v>
      </c>
      <c r="J246" s="17">
        <f>B246/I246-1</f>
        <v>0</v>
      </c>
    </row>
    <row r="247" spans="1:10">
      <c r="A247" s="6">
        <v>44553</v>
      </c>
      <c r="B247" s="14">
        <v>15530853.53235961</v>
      </c>
      <c r="D247" s="17">
        <f>B247/B246-1</f>
        <v>0</v>
      </c>
      <c r="E247" s="14">
        <v>12761802.50568862</v>
      </c>
      <c r="F247" s="17">
        <f>E247/E246-1</f>
        <v>0</v>
      </c>
      <c r="G247" s="14">
        <v>14395767.96097581</v>
      </c>
      <c r="H247" s="17">
        <f>G247/G246-1</f>
        <v>0</v>
      </c>
      <c r="I247" s="14">
        <f>MAX(I246,B247)</f>
        <v>0</v>
      </c>
      <c r="J247" s="17">
        <f>B247/I247-1</f>
        <v>0</v>
      </c>
    </row>
    <row r="248" spans="1:10">
      <c r="A248" s="6">
        <v>44554</v>
      </c>
      <c r="B248" s="14">
        <v>15545702.79361466</v>
      </c>
      <c r="D248" s="17">
        <f>B248/B247-1</f>
        <v>0</v>
      </c>
      <c r="E248" s="14">
        <v>12687447.06067233</v>
      </c>
      <c r="F248" s="17">
        <f>E248/E247-1</f>
        <v>0</v>
      </c>
      <c r="G248" s="14">
        <v>14260759.46242612</v>
      </c>
      <c r="H248" s="17">
        <f>G248/G247-1</f>
        <v>0</v>
      </c>
      <c r="I248" s="14">
        <f>MAX(I247,B248)</f>
        <v>0</v>
      </c>
      <c r="J248" s="17">
        <f>B248/I248-1</f>
        <v>0</v>
      </c>
    </row>
    <row r="249" spans="1:10">
      <c r="A249" s="6">
        <v>44557</v>
      </c>
      <c r="B249" s="14">
        <v>15647763.55865342</v>
      </c>
      <c r="D249" s="17">
        <f>B249/B248-1</f>
        <v>0</v>
      </c>
      <c r="E249" s="14">
        <v>12742383.31308419</v>
      </c>
      <c r="F249" s="17">
        <f>E249/E248-1</f>
        <v>0</v>
      </c>
      <c r="G249" s="14">
        <v>14323356.18240874</v>
      </c>
      <c r="H249" s="17">
        <f>G249/G248-1</f>
        <v>0</v>
      </c>
      <c r="I249" s="14">
        <f>MAX(I248,B249)</f>
        <v>0</v>
      </c>
      <c r="J249" s="17">
        <f>B249/I249-1</f>
        <v>0</v>
      </c>
    </row>
    <row r="250" spans="1:10">
      <c r="A250" s="6">
        <v>44558</v>
      </c>
      <c r="B250" s="14">
        <v>15893690.74312412</v>
      </c>
      <c r="D250" s="17">
        <f>B250/B249-1</f>
        <v>0</v>
      </c>
      <c r="E250" s="14">
        <v>12864335.00395792</v>
      </c>
      <c r="F250" s="17">
        <f>E250/E249-1</f>
        <v>0</v>
      </c>
      <c r="G250" s="14">
        <v>14485970.04877856</v>
      </c>
      <c r="H250" s="17">
        <f>G250/G249-1</f>
        <v>0</v>
      </c>
      <c r="I250" s="14">
        <f>MAX(I249,B250)</f>
        <v>0</v>
      </c>
      <c r="J250" s="17">
        <f>B250/I250-1</f>
        <v>0</v>
      </c>
    </row>
    <row r="251" spans="1:10">
      <c r="A251" s="6">
        <v>44559</v>
      </c>
      <c r="B251" s="14">
        <v>15949361.64960143</v>
      </c>
      <c r="D251" s="17">
        <f>B251/B250-1</f>
        <v>0</v>
      </c>
      <c r="E251" s="14">
        <v>12861097.92632296</v>
      </c>
      <c r="F251" s="17">
        <f>E251/E250-1</f>
        <v>0</v>
      </c>
      <c r="G251" s="14">
        <v>14532787.60498089</v>
      </c>
      <c r="H251" s="17">
        <f>G251/G250-1</f>
        <v>0</v>
      </c>
      <c r="I251" s="14">
        <f>MAX(I250,B251)</f>
        <v>0</v>
      </c>
      <c r="J251" s="17">
        <f>B251/I251-1</f>
        <v>0</v>
      </c>
    </row>
    <row r="252" spans="1:10">
      <c r="A252" s="6">
        <v>44560</v>
      </c>
      <c r="B252" s="14">
        <v>15957366.12133902</v>
      </c>
      <c r="D252" s="17">
        <f>B252/B251-1</f>
        <v>0</v>
      </c>
      <c r="E252" s="14">
        <v>12843235.98832956</v>
      </c>
      <c r="F252" s="17">
        <f>E252/E251-1</f>
        <v>0</v>
      </c>
      <c r="G252" s="14">
        <v>14522972.8485255</v>
      </c>
      <c r="H252" s="17">
        <f>G252/G251-1</f>
        <v>0</v>
      </c>
      <c r="I252" s="14">
        <f>MAX(I251,B252)</f>
        <v>0</v>
      </c>
      <c r="J252" s="17">
        <f>B252/I252-1</f>
        <v>0</v>
      </c>
    </row>
    <row r="253" spans="1:10">
      <c r="A253" s="6">
        <v>44561</v>
      </c>
      <c r="B253" s="14">
        <v>16109929.92415213</v>
      </c>
      <c r="D253" s="17">
        <f>B253/B252-1</f>
        <v>0</v>
      </c>
      <c r="E253" s="14">
        <v>12977238.16532347</v>
      </c>
      <c r="F253" s="17">
        <f>E253/E252-1</f>
        <v>0</v>
      </c>
      <c r="G253" s="14">
        <v>14688593.3422759</v>
      </c>
      <c r="H253" s="17">
        <f>G253/G252-1</f>
        <v>0</v>
      </c>
      <c r="I253" s="14">
        <f>MAX(I252,B253)</f>
        <v>0</v>
      </c>
      <c r="J253" s="17">
        <f>B253/I253-1</f>
        <v>0</v>
      </c>
    </row>
    <row r="254" spans="1:10">
      <c r="A254" s="6">
        <v>44564</v>
      </c>
      <c r="B254" s="14">
        <v>16217367.61356002</v>
      </c>
      <c r="D254" s="17">
        <f>B254/B253-1</f>
        <v>0</v>
      </c>
      <c r="E254" s="14">
        <v>13158198.40206011</v>
      </c>
      <c r="F254" s="17">
        <f>E254/E253-1</f>
        <v>0</v>
      </c>
      <c r="G254" s="14">
        <v>14849325.3746106</v>
      </c>
      <c r="H254" s="17">
        <f>G254/G253-1</f>
        <v>0</v>
      </c>
      <c r="I254" s="14">
        <f>MAX(I253,B254)</f>
        <v>0</v>
      </c>
      <c r="J254" s="17">
        <f>B254/I254-1</f>
        <v>0</v>
      </c>
    </row>
    <row r="255" spans="1:10">
      <c r="A255" s="6">
        <v>44565</v>
      </c>
      <c r="B255" s="14">
        <v>16390511.91781729</v>
      </c>
      <c r="D255" s="17">
        <f>B255/B254-1</f>
        <v>0</v>
      </c>
      <c r="E255" s="14">
        <v>13257611.76628519</v>
      </c>
      <c r="F255" s="17">
        <f>E255/E254-1</f>
        <v>0</v>
      </c>
      <c r="G255" s="14">
        <v>14909717.93915704</v>
      </c>
      <c r="H255" s="17">
        <f>G255/G254-1</f>
        <v>0</v>
      </c>
      <c r="I255" s="14">
        <f>MAX(I254,B255)</f>
        <v>0</v>
      </c>
      <c r="J255" s="17">
        <f>B255/I255-1</f>
        <v>0</v>
      </c>
    </row>
    <row r="256" spans="1:10">
      <c r="A256" s="6">
        <v>44566</v>
      </c>
      <c r="B256" s="14">
        <v>16254099.76789609</v>
      </c>
      <c r="D256" s="17">
        <f>B256/B255-1</f>
        <v>0</v>
      </c>
      <c r="E256" s="14">
        <v>13325445.60956248</v>
      </c>
      <c r="F256" s="17">
        <f>E256/E255-1</f>
        <v>0</v>
      </c>
      <c r="G256" s="14">
        <v>14957030.42191488</v>
      </c>
      <c r="H256" s="17">
        <f>G256/G255-1</f>
        <v>0</v>
      </c>
      <c r="I256" s="14">
        <f>MAX(I255,B256)</f>
        <v>0</v>
      </c>
      <c r="J256" s="17">
        <f>B256/I256-1</f>
        <v>0</v>
      </c>
    </row>
    <row r="257" spans="1:10">
      <c r="A257" s="6">
        <v>44567</v>
      </c>
      <c r="B257" s="14">
        <v>16132125.25587479</v>
      </c>
      <c r="D257" s="17">
        <f>B257/B256-1</f>
        <v>0</v>
      </c>
      <c r="E257" s="14">
        <v>13234077.78761855</v>
      </c>
      <c r="F257" s="17">
        <f>E257/E256-1</f>
        <v>0</v>
      </c>
      <c r="G257" s="14">
        <v>14936743.10020001</v>
      </c>
      <c r="H257" s="17">
        <f>G257/G256-1</f>
        <v>0</v>
      </c>
      <c r="I257" s="14">
        <f>MAX(I256,B257)</f>
        <v>0</v>
      </c>
      <c r="J257" s="17">
        <f>B257/I257-1</f>
        <v>0</v>
      </c>
    </row>
    <row r="258" spans="1:10">
      <c r="A258" s="6">
        <v>44568</v>
      </c>
      <c r="B258" s="14">
        <v>16351293.63872564</v>
      </c>
      <c r="D258" s="17">
        <f>B258/B257-1</f>
        <v>0</v>
      </c>
      <c r="E258" s="14">
        <v>13285298.52412559</v>
      </c>
      <c r="F258" s="17">
        <f>E258/E257-1</f>
        <v>0</v>
      </c>
      <c r="G258" s="14">
        <v>14993929.84646272</v>
      </c>
      <c r="H258" s="17">
        <f>G258/G257-1</f>
        <v>0</v>
      </c>
      <c r="I258" s="14">
        <f>MAX(I257,B258)</f>
        <v>0</v>
      </c>
      <c r="J258" s="17">
        <f>B258/I258-1</f>
        <v>0</v>
      </c>
    </row>
    <row r="259" spans="1:10">
      <c r="A259" s="6">
        <v>44571</v>
      </c>
      <c r="B259" s="14">
        <v>16437097.63390123</v>
      </c>
      <c r="D259" s="17">
        <f>B259/B258-1</f>
        <v>0</v>
      </c>
      <c r="E259" s="14">
        <v>13413170.46715392</v>
      </c>
      <c r="F259" s="17">
        <f>E259/E258-1</f>
        <v>0</v>
      </c>
      <c r="G259" s="14">
        <v>15135566.82052198</v>
      </c>
      <c r="H259" s="17">
        <f>G259/G258-1</f>
        <v>0</v>
      </c>
      <c r="I259" s="14">
        <f>MAX(I258,B259)</f>
        <v>0</v>
      </c>
      <c r="J259" s="17">
        <f>B259/I259-1</f>
        <v>0</v>
      </c>
    </row>
    <row r="260" spans="1:10">
      <c r="A260" s="6">
        <v>44572</v>
      </c>
      <c r="B260" s="14">
        <v>16400237.91653361</v>
      </c>
      <c r="D260" s="17">
        <f>B260/B259-1</f>
        <v>0</v>
      </c>
      <c r="E260" s="14">
        <v>13444105.69224774</v>
      </c>
      <c r="F260" s="17">
        <f>E260/E259-1</f>
        <v>0</v>
      </c>
      <c r="G260" s="14">
        <v>15149752.51446691</v>
      </c>
      <c r="H260" s="17">
        <f>G260/G259-1</f>
        <v>0</v>
      </c>
      <c r="I260" s="14">
        <f>MAX(I259,B260)</f>
        <v>0</v>
      </c>
      <c r="J260" s="17">
        <f>B260/I260-1</f>
        <v>0</v>
      </c>
    </row>
    <row r="261" spans="1:10">
      <c r="A261" s="6">
        <v>44573</v>
      </c>
      <c r="B261" s="14">
        <v>16729546.79935065</v>
      </c>
      <c r="D261" s="17">
        <f>B261/B260-1</f>
        <v>0</v>
      </c>
      <c r="E261" s="14">
        <v>13563644.17644971</v>
      </c>
      <c r="F261" s="17">
        <f>E261/E260-1</f>
        <v>0</v>
      </c>
      <c r="G261" s="14">
        <v>15274189.34522823</v>
      </c>
      <c r="H261" s="17">
        <f>G261/G260-1</f>
        <v>0</v>
      </c>
      <c r="I261" s="14">
        <f>MAX(I260,B261)</f>
        <v>0</v>
      </c>
      <c r="J261" s="17">
        <f>B261/I261-1</f>
        <v>0</v>
      </c>
    </row>
    <row r="262" spans="1:10">
      <c r="A262" s="6">
        <v>44574</v>
      </c>
      <c r="B262" s="14">
        <v>16829397.50750207</v>
      </c>
      <c r="D262" s="17">
        <f>B262/B261-1</f>
        <v>0</v>
      </c>
      <c r="E262" s="14">
        <v>13610301.31801303</v>
      </c>
      <c r="F262" s="17">
        <f>E262/E261-1</f>
        <v>0</v>
      </c>
      <c r="G262" s="14">
        <v>15334675.32865479</v>
      </c>
      <c r="H262" s="17">
        <f>G262/G261-1</f>
        <v>0</v>
      </c>
      <c r="I262" s="14">
        <f>MAX(I261,B262)</f>
        <v>0</v>
      </c>
      <c r="J262" s="17">
        <f>B262/I262-1</f>
        <v>0</v>
      </c>
    </row>
    <row r="263" spans="1:10">
      <c r="A263" s="6">
        <v>44575</v>
      </c>
      <c r="B263" s="14">
        <v>16851014.49512227</v>
      </c>
      <c r="D263" s="17">
        <f>B263/B262-1</f>
        <v>0</v>
      </c>
      <c r="E263" s="14">
        <v>13619044.57987572</v>
      </c>
      <c r="F263" s="17">
        <f>E263/E262-1</f>
        <v>0</v>
      </c>
      <c r="G263" s="14">
        <v>15387105.01707662</v>
      </c>
      <c r="H263" s="17">
        <f>G263/G262-1</f>
        <v>0</v>
      </c>
      <c r="I263" s="14">
        <f>MAX(I262,B263)</f>
        <v>0</v>
      </c>
      <c r="J263" s="17">
        <f>B263/I263-1</f>
        <v>0</v>
      </c>
    </row>
    <row r="264" spans="1:10">
      <c r="A264" s="6">
        <v>44578</v>
      </c>
      <c r="B264" s="14">
        <v>16924806.18852169</v>
      </c>
      <c r="D264" s="17">
        <f>B264/B263-1</f>
        <v>0</v>
      </c>
      <c r="E264" s="14">
        <v>13663717.61120848</v>
      </c>
      <c r="F264" s="17">
        <f>E264/E263-1</f>
        <v>0</v>
      </c>
      <c r="G264" s="14">
        <v>15456519.87065635</v>
      </c>
      <c r="H264" s="17">
        <f>G264/G263-1</f>
        <v>0</v>
      </c>
      <c r="I264" s="14">
        <f>MAX(I263,B264)</f>
        <v>0</v>
      </c>
      <c r="J264" s="17">
        <f>B264/I264-1</f>
        <v>0</v>
      </c>
    </row>
    <row r="265" spans="1:10">
      <c r="A265" s="6">
        <v>44579</v>
      </c>
      <c r="B265" s="14">
        <v>16626802.2673953</v>
      </c>
      <c r="D265" s="17">
        <f>B265/B264-1</f>
        <v>0</v>
      </c>
      <c r="E265" s="14">
        <v>13484147.54945537</v>
      </c>
      <c r="F265" s="17">
        <f>E265/E264-1</f>
        <v>0</v>
      </c>
      <c r="G265" s="14">
        <v>15184106.37733096</v>
      </c>
      <c r="H265" s="17">
        <f>G265/G264-1</f>
        <v>0</v>
      </c>
      <c r="I265" s="14">
        <f>MAX(I264,B265)</f>
        <v>0</v>
      </c>
      <c r="J265" s="17">
        <f>B265/I265-1</f>
        <v>0</v>
      </c>
    </row>
    <row r="266" spans="1:10">
      <c r="A266" s="6">
        <v>44580</v>
      </c>
      <c r="B266" s="14">
        <v>16617094.35664147</v>
      </c>
      <c r="D266" s="17">
        <f>B266/B265-1</f>
        <v>0</v>
      </c>
      <c r="E266" s="14">
        <v>13397684.32200008</v>
      </c>
      <c r="F266" s="17">
        <f>E266/E265-1</f>
        <v>0</v>
      </c>
      <c r="G266" s="14">
        <v>15184056.51198527</v>
      </c>
      <c r="H266" s="17">
        <f>G266/G265-1</f>
        <v>0</v>
      </c>
      <c r="I266" s="14">
        <f>MAX(I265,B266)</f>
        <v>0</v>
      </c>
      <c r="J266" s="17">
        <f>B266/I266-1</f>
        <v>0</v>
      </c>
    </row>
    <row r="267" spans="1:10">
      <c r="A267" s="6">
        <v>44581</v>
      </c>
      <c r="B267" s="14">
        <v>16820243.79541181</v>
      </c>
      <c r="D267" s="17">
        <f>B267/B266-1</f>
        <v>0</v>
      </c>
      <c r="E267" s="14">
        <v>13301860.37341205</v>
      </c>
      <c r="F267" s="17">
        <f>E267/E266-1</f>
        <v>0</v>
      </c>
      <c r="G267" s="14">
        <v>15136829.07519525</v>
      </c>
      <c r="H267" s="17">
        <f>G267/G266-1</f>
        <v>0</v>
      </c>
      <c r="I267" s="14">
        <f>MAX(I266,B267)</f>
        <v>0</v>
      </c>
      <c r="J267" s="17">
        <f>B267/I267-1</f>
        <v>0</v>
      </c>
    </row>
    <row r="268" spans="1:10">
      <c r="A268" s="6">
        <v>44582</v>
      </c>
      <c r="B268" s="14">
        <v>16301270.61737723</v>
      </c>
      <c r="D268" s="17">
        <f>B268/B267-1</f>
        <v>0</v>
      </c>
      <c r="E268" s="14">
        <v>13146364.16345311</v>
      </c>
      <c r="F268" s="17">
        <f>E268/E267-1</f>
        <v>0</v>
      </c>
      <c r="G268" s="14">
        <v>14869622.04236252</v>
      </c>
      <c r="H268" s="17">
        <f>G268/G267-1</f>
        <v>0</v>
      </c>
      <c r="I268" s="14">
        <f>MAX(I267,B268)</f>
        <v>0</v>
      </c>
      <c r="J268" s="17">
        <f>B268/I268-1</f>
        <v>0</v>
      </c>
    </row>
    <row r="269" spans="1:10">
      <c r="A269" s="6">
        <v>44585</v>
      </c>
      <c r="B269" s="14">
        <v>15516371.20064436</v>
      </c>
      <c r="D269" s="17">
        <f>B269/B268-1</f>
        <v>0</v>
      </c>
      <c r="E269" s="14">
        <v>12741059.11781322</v>
      </c>
      <c r="F269" s="17">
        <f>E269/E268-1</f>
        <v>0</v>
      </c>
      <c r="G269" s="14">
        <v>14338244.77774643</v>
      </c>
      <c r="H269" s="17">
        <f>G269/G268-1</f>
        <v>0</v>
      </c>
      <c r="I269" s="14">
        <f>MAX(I268,B269)</f>
        <v>0</v>
      </c>
      <c r="J269" s="17">
        <f>B269/I269-1</f>
        <v>0</v>
      </c>
    </row>
    <row r="270" spans="1:10">
      <c r="A270" s="6">
        <v>44586</v>
      </c>
      <c r="B270" s="14">
        <v>15504407.62676781</v>
      </c>
      <c r="D270" s="17">
        <f>B270/B269-1</f>
        <v>0</v>
      </c>
      <c r="E270" s="14">
        <v>12845719.53581261</v>
      </c>
      <c r="F270" s="17">
        <f>E270/E269-1</f>
        <v>0</v>
      </c>
      <c r="G270" s="14">
        <v>14466861.15039554</v>
      </c>
      <c r="H270" s="17">
        <f>G270/G269-1</f>
        <v>0</v>
      </c>
      <c r="I270" s="14">
        <f>MAX(I269,B270)</f>
        <v>0</v>
      </c>
      <c r="J270" s="17">
        <f>B270/I270-1</f>
        <v>0</v>
      </c>
    </row>
    <row r="271" spans="1:10">
      <c r="A271" s="6">
        <v>44588</v>
      </c>
      <c r="B271" s="14">
        <v>15248833.72182367</v>
      </c>
      <c r="D271" s="17">
        <f>B271/B270-1</f>
        <v>0</v>
      </c>
      <c r="E271" s="14">
        <v>12714255.60376765</v>
      </c>
      <c r="F271" s="17">
        <f>E271/E270-1</f>
        <v>0</v>
      </c>
      <c r="G271" s="14">
        <v>14346701.26696229</v>
      </c>
      <c r="H271" s="17">
        <f>G271/G270-1</f>
        <v>0</v>
      </c>
      <c r="I271" s="14">
        <f>MAX(I270,B271)</f>
        <v>0</v>
      </c>
      <c r="J271" s="17">
        <f>B271/I271-1</f>
        <v>0</v>
      </c>
    </row>
    <row r="272" spans="1:10">
      <c r="A272" s="6">
        <v>44589</v>
      </c>
      <c r="B272" s="14">
        <v>15462912.97747297</v>
      </c>
      <c r="D272" s="17">
        <f>B272/B271-1</f>
        <v>0</v>
      </c>
      <c r="E272" s="14">
        <v>12752580.02656918</v>
      </c>
      <c r="F272" s="17">
        <f>E272/E271-1</f>
        <v>0</v>
      </c>
      <c r="G272" s="14">
        <v>14474938.98923445</v>
      </c>
      <c r="H272" s="17">
        <f>G272/G271-1</f>
        <v>0</v>
      </c>
      <c r="I272" s="14">
        <f>MAX(I271,B272)</f>
        <v>0</v>
      </c>
      <c r="J272" s="17">
        <f>B272/I272-1</f>
        <v>0</v>
      </c>
    </row>
    <row r="273" spans="1:10">
      <c r="A273" s="6">
        <v>44592</v>
      </c>
      <c r="B273" s="14">
        <v>15843586.25167996</v>
      </c>
      <c r="D273" s="17">
        <f>B273/B272-1</f>
        <v>0</v>
      </c>
      <c r="E273" s="14">
        <v>12924858.89006404</v>
      </c>
      <c r="F273" s="17">
        <f>E273/E272-1</f>
        <v>0</v>
      </c>
      <c r="G273" s="14">
        <v>14647372.46444459</v>
      </c>
      <c r="H273" s="17">
        <f>G273/G272-1</f>
        <v>0</v>
      </c>
      <c r="I273" s="14">
        <f>MAX(I272,B273)</f>
        <v>0</v>
      </c>
      <c r="J273" s="17">
        <f>B273/I273-1</f>
        <v>0</v>
      </c>
    </row>
    <row r="274" spans="1:10">
      <c r="A274" s="6">
        <v>44593</v>
      </c>
      <c r="B274" s="14">
        <v>16018018.94519169</v>
      </c>
      <c r="D274" s="17">
        <f>B274/B273-1</f>
        <v>0</v>
      </c>
      <c r="E274" s="14">
        <v>13094165.48780286</v>
      </c>
      <c r="F274" s="17">
        <f>E274/E273-1</f>
        <v>0</v>
      </c>
      <c r="G274" s="14">
        <v>14785022.90222513</v>
      </c>
      <c r="H274" s="17">
        <f>G274/G273-1</f>
        <v>0</v>
      </c>
      <c r="I274" s="14">
        <f>MAX(I273,B274)</f>
        <v>0</v>
      </c>
      <c r="J274" s="17">
        <f>B274/I274-1</f>
        <v>0</v>
      </c>
    </row>
    <row r="275" spans="1:10">
      <c r="A275" s="6">
        <v>44594</v>
      </c>
      <c r="B275" s="14">
        <v>16007107.34408346</v>
      </c>
      <c r="D275" s="17">
        <f>B275/B274-1</f>
        <v>0</v>
      </c>
      <c r="E275" s="14">
        <v>13248241.85246866</v>
      </c>
      <c r="F275" s="17">
        <f>E275/E274-1</f>
        <v>0</v>
      </c>
      <c r="G275" s="14">
        <v>14966820.34737343</v>
      </c>
      <c r="H275" s="17">
        <f>G275/G274-1</f>
        <v>0</v>
      </c>
      <c r="I275" s="14">
        <f>MAX(I274,B275)</f>
        <v>0</v>
      </c>
      <c r="J275" s="17">
        <f>B275/I275-1</f>
        <v>0</v>
      </c>
    </row>
    <row r="276" spans="1:10">
      <c r="A276" s="6">
        <v>44595</v>
      </c>
      <c r="B276" s="14">
        <v>15651195.83918746</v>
      </c>
      <c r="D276" s="17">
        <f>B276/B275-1</f>
        <v>0</v>
      </c>
      <c r="E276" s="14">
        <v>13112478.44631204</v>
      </c>
      <c r="F276" s="17">
        <f>E276/E275-1</f>
        <v>0</v>
      </c>
      <c r="G276" s="14">
        <v>14892001.03355072</v>
      </c>
      <c r="H276" s="17">
        <f>G276/G275-1</f>
        <v>0</v>
      </c>
      <c r="I276" s="14">
        <f>MAX(I275,B276)</f>
        <v>0</v>
      </c>
      <c r="J276" s="17">
        <f>B276/I276-1</f>
        <v>0</v>
      </c>
    </row>
    <row r="277" spans="1:10">
      <c r="A277" s="6">
        <v>44596</v>
      </c>
      <c r="B277" s="14">
        <v>15861871.27021495</v>
      </c>
      <c r="D277" s="17">
        <f>B277/B276-1</f>
        <v>0</v>
      </c>
      <c r="E277" s="14">
        <v>13069397.01943462</v>
      </c>
      <c r="F277" s="17">
        <f>E277/E276-1</f>
        <v>0</v>
      </c>
      <c r="G277" s="14">
        <v>14811092.65530862</v>
      </c>
      <c r="H277" s="17">
        <f>G277/G276-1</f>
        <v>0</v>
      </c>
      <c r="I277" s="14">
        <f>MAX(I276,B277)</f>
        <v>0</v>
      </c>
      <c r="J277" s="17">
        <f>B277/I277-1</f>
        <v>0</v>
      </c>
    </row>
    <row r="278" spans="1:10">
      <c r="A278" s="6">
        <v>44599</v>
      </c>
      <c r="B278" s="14">
        <v>15602694.36131656</v>
      </c>
      <c r="D278" s="17">
        <f>B278/B277-1</f>
        <v>0</v>
      </c>
      <c r="E278" s="14">
        <v>12883881.89674778</v>
      </c>
      <c r="F278" s="17">
        <f>E278/E277-1</f>
        <v>0</v>
      </c>
      <c r="G278" s="14">
        <v>14671994.39145139</v>
      </c>
      <c r="H278" s="17">
        <f>G278/G277-1</f>
        <v>0</v>
      </c>
      <c r="I278" s="14">
        <f>MAX(I277,B278)</f>
        <v>0</v>
      </c>
      <c r="J278" s="17">
        <f>B278/I278-1</f>
        <v>0</v>
      </c>
    </row>
    <row r="279" spans="1:10">
      <c r="A279" s="6">
        <v>44600</v>
      </c>
      <c r="B279" s="14">
        <v>15372050.65747821</v>
      </c>
      <c r="D279" s="17">
        <f>B279/B278-1</f>
        <v>0</v>
      </c>
      <c r="E279" s="14">
        <v>12872755.86925909</v>
      </c>
      <c r="F279" s="17">
        <f>E279/E278-1</f>
        <v>0</v>
      </c>
      <c r="G279" s="14">
        <v>14565807.32016681</v>
      </c>
      <c r="H279" s="17">
        <f>G279/G278-1</f>
        <v>0</v>
      </c>
      <c r="I279" s="14">
        <f>MAX(I278,B279)</f>
        <v>0</v>
      </c>
      <c r="J279" s="17">
        <f>B279/I279-1</f>
        <v>0</v>
      </c>
    </row>
    <row r="280" spans="1:10">
      <c r="A280" s="6">
        <v>44601</v>
      </c>
      <c r="B280" s="14">
        <v>15688358.89669992</v>
      </c>
      <c r="D280" s="17">
        <f>B280/B279-1</f>
        <v>0</v>
      </c>
      <c r="E280" s="14">
        <v>13011392.72661996</v>
      </c>
      <c r="F280" s="17">
        <f>E280/E279-1</f>
        <v>0</v>
      </c>
      <c r="G280" s="14">
        <v>14680201.34297012</v>
      </c>
      <c r="H280" s="17">
        <f>G280/G279-1</f>
        <v>0</v>
      </c>
      <c r="I280" s="14">
        <f>MAX(I279,B280)</f>
        <v>0</v>
      </c>
      <c r="J280" s="17">
        <f>B280/I280-1</f>
        <v>0</v>
      </c>
    </row>
    <row r="281" spans="1:10">
      <c r="A281" s="6">
        <v>44602</v>
      </c>
      <c r="B281" s="14">
        <v>15778790.26352209</v>
      </c>
      <c r="D281" s="17">
        <f>B281/B280-1</f>
        <v>0</v>
      </c>
      <c r="E281" s="14">
        <v>13095065.09916043</v>
      </c>
      <c r="F281" s="17">
        <f>E281/E280-1</f>
        <v>0</v>
      </c>
      <c r="G281" s="14">
        <v>14725920.96984563</v>
      </c>
      <c r="H281" s="17">
        <f>G281/G280-1</f>
        <v>0</v>
      </c>
      <c r="I281" s="14">
        <f>MAX(I280,B281)</f>
        <v>0</v>
      </c>
      <c r="J281" s="17">
        <f>B281/I281-1</f>
        <v>0</v>
      </c>
    </row>
    <row r="282" spans="1:10">
      <c r="A282" s="6">
        <v>44603</v>
      </c>
      <c r="B282" s="14">
        <v>15298454.85307467</v>
      </c>
      <c r="D282" s="17">
        <f>B282/B281-1</f>
        <v>0</v>
      </c>
      <c r="E282" s="14">
        <v>12904273.46225194</v>
      </c>
      <c r="F282" s="17">
        <f>E282/E281-1</f>
        <v>0</v>
      </c>
      <c r="G282" s="14">
        <v>14466080.46433361</v>
      </c>
      <c r="H282" s="17">
        <f>G282/G281-1</f>
        <v>0</v>
      </c>
      <c r="I282" s="14">
        <f>MAX(I281,B282)</f>
        <v>0</v>
      </c>
      <c r="J282" s="17">
        <f>B282/I282-1</f>
        <v>0</v>
      </c>
    </row>
    <row r="283" spans="1:10">
      <c r="A283" s="6">
        <v>44606</v>
      </c>
      <c r="B283" s="14">
        <v>14719706.0198949</v>
      </c>
      <c r="D283" s="17">
        <f>B283/B282-1</f>
        <v>0</v>
      </c>
      <c r="E283" s="14">
        <v>12479491.89036789</v>
      </c>
      <c r="F283" s="17">
        <f>E283/E282-1</f>
        <v>0</v>
      </c>
      <c r="G283" s="14">
        <v>13937032.30754163</v>
      </c>
      <c r="H283" s="17">
        <f>G283/G282-1</f>
        <v>0</v>
      </c>
      <c r="I283" s="14">
        <f>MAX(I282,B283)</f>
        <v>0</v>
      </c>
      <c r="J283" s="17">
        <f>B283/I283-1</f>
        <v>0</v>
      </c>
    </row>
    <row r="284" spans="1:10">
      <c r="A284" s="6">
        <v>44607</v>
      </c>
      <c r="B284" s="14">
        <v>15250648.07855687</v>
      </c>
      <c r="D284" s="17">
        <f>B284/B283-1</f>
        <v>0</v>
      </c>
      <c r="E284" s="14">
        <v>12831191.58576538</v>
      </c>
      <c r="F284" s="17">
        <f>E284/E283-1</f>
        <v>0</v>
      </c>
      <c r="G284" s="14">
        <v>14254962.65594552</v>
      </c>
      <c r="H284" s="17">
        <f>G284/G283-1</f>
        <v>0</v>
      </c>
      <c r="I284" s="14">
        <f>MAX(I283,B284)</f>
        <v>0</v>
      </c>
      <c r="J284" s="17">
        <f>B284/I284-1</f>
        <v>0</v>
      </c>
    </row>
    <row r="285" spans="1:10">
      <c r="A285" s="6">
        <v>44608</v>
      </c>
      <c r="B285" s="14">
        <v>15190842.20461338</v>
      </c>
      <c r="D285" s="17">
        <f>B285/B284-1</f>
        <v>0</v>
      </c>
      <c r="E285" s="14">
        <v>12818240.07051827</v>
      </c>
      <c r="F285" s="17">
        <f>E285/E284-1</f>
        <v>0</v>
      </c>
      <c r="G285" s="14">
        <v>14288366.47153792</v>
      </c>
      <c r="H285" s="17">
        <f>G285/G284-1</f>
        <v>0</v>
      </c>
      <c r="I285" s="14">
        <f>MAX(I284,B285)</f>
        <v>0</v>
      </c>
      <c r="J285" s="17">
        <f>B285/I285-1</f>
        <v>0</v>
      </c>
    </row>
    <row r="286" spans="1:10">
      <c r="A286" s="6">
        <v>44609</v>
      </c>
      <c r="B286" s="14">
        <v>15073657.26244725</v>
      </c>
      <c r="D286" s="17">
        <f>B286/B285-1</f>
        <v>0</v>
      </c>
      <c r="E286" s="14">
        <v>12803379.5611451</v>
      </c>
      <c r="F286" s="17">
        <f>E286/E285-1</f>
        <v>0</v>
      </c>
      <c r="G286" s="14">
        <v>14234408.09909146</v>
      </c>
      <c r="H286" s="17">
        <f>G286/G285-1</f>
        <v>0</v>
      </c>
      <c r="I286" s="14">
        <f>MAX(I285,B286)</f>
        <v>0</v>
      </c>
      <c r="J286" s="17">
        <f>B286/I286-1</f>
        <v>0</v>
      </c>
    </row>
    <row r="287" spans="1:10">
      <c r="A287" s="6">
        <v>44610</v>
      </c>
      <c r="B287" s="14">
        <v>15093339.09625317</v>
      </c>
      <c r="D287" s="17">
        <f>B287/B286-1</f>
        <v>0</v>
      </c>
      <c r="E287" s="14">
        <v>12750815.69548913</v>
      </c>
      <c r="F287" s="17">
        <f>E287/E286-1</f>
        <v>0</v>
      </c>
      <c r="G287" s="14">
        <v>14142205.47410696</v>
      </c>
      <c r="H287" s="17">
        <f>G287/G286-1</f>
        <v>0</v>
      </c>
      <c r="I287" s="14">
        <f>MAX(I286,B287)</f>
        <v>0</v>
      </c>
      <c r="J287" s="17">
        <f>B287/I287-1</f>
        <v>0</v>
      </c>
    </row>
    <row r="288" spans="1:10">
      <c r="A288" s="6">
        <v>44613</v>
      </c>
      <c r="B288" s="14">
        <v>14897856.58820149</v>
      </c>
      <c r="D288" s="17">
        <f>B288/B287-1</f>
        <v>0</v>
      </c>
      <c r="E288" s="14">
        <v>12652957.12675169</v>
      </c>
      <c r="F288" s="17">
        <f>E288/E287-1</f>
        <v>0</v>
      </c>
      <c r="G288" s="14">
        <v>13923047.69922665</v>
      </c>
      <c r="H288" s="17">
        <f>G288/G287-1</f>
        <v>0</v>
      </c>
      <c r="I288" s="14">
        <f>MAX(I287,B288)</f>
        <v>0</v>
      </c>
      <c r="J288" s="17">
        <f>B288/I288-1</f>
        <v>0</v>
      </c>
    </row>
    <row r="289" spans="1:10">
      <c r="A289" s="6">
        <v>44614</v>
      </c>
      <c r="B289" s="14">
        <v>14831762.43113552</v>
      </c>
      <c r="D289" s="17">
        <f>B289/B288-1</f>
        <v>0</v>
      </c>
      <c r="E289" s="14">
        <v>12559900.66263542</v>
      </c>
      <c r="F289" s="17">
        <f>E289/E288-1</f>
        <v>0</v>
      </c>
      <c r="G289" s="14">
        <v>13771141.06571965</v>
      </c>
      <c r="H289" s="17">
        <f>G289/G288-1</f>
        <v>0</v>
      </c>
      <c r="I289" s="14">
        <f>MAX(I288,B289)</f>
        <v>0</v>
      </c>
      <c r="J289" s="17">
        <f>B289/I289-1</f>
        <v>0</v>
      </c>
    </row>
    <row r="290" spans="1:10">
      <c r="A290" s="6">
        <v>44615</v>
      </c>
      <c r="B290" s="14">
        <v>14929323.99065214</v>
      </c>
      <c r="D290" s="17">
        <f>B290/B289-1</f>
        <v>0</v>
      </c>
      <c r="E290" s="14">
        <v>12576015.79056819</v>
      </c>
      <c r="F290" s="17">
        <f>E290/E289-1</f>
        <v>0</v>
      </c>
      <c r="G290" s="14">
        <v>13867944.72696888</v>
      </c>
      <c r="H290" s="17">
        <f>G290/G289-1</f>
        <v>0</v>
      </c>
      <c r="I290" s="14">
        <f>MAX(I289,B290)</f>
        <v>0</v>
      </c>
      <c r="J290" s="17">
        <f>B290/I290-1</f>
        <v>0</v>
      </c>
    </row>
    <row r="291" spans="1:10">
      <c r="A291" s="6">
        <v>44616</v>
      </c>
      <c r="B291" s="14">
        <v>14121147.64610522</v>
      </c>
      <c r="D291" s="17">
        <f>B291/B290-1</f>
        <v>0</v>
      </c>
      <c r="E291" s="14">
        <v>11942697.0142917</v>
      </c>
      <c r="F291" s="17">
        <f>E291/E290-1</f>
        <v>0</v>
      </c>
      <c r="G291" s="14">
        <v>13112055.21521408</v>
      </c>
      <c r="H291" s="17">
        <f>G291/G290-1</f>
        <v>0</v>
      </c>
      <c r="I291" s="14">
        <f>MAX(I290,B291)</f>
        <v>0</v>
      </c>
      <c r="J291" s="17">
        <f>B291/I291-1</f>
        <v>0</v>
      </c>
    </row>
    <row r="292" spans="1:10">
      <c r="A292" s="6">
        <v>44617</v>
      </c>
      <c r="B292" s="14">
        <v>14608591.05054905</v>
      </c>
      <c r="D292" s="17">
        <f>B292/B291-1</f>
        <v>0</v>
      </c>
      <c r="E292" s="14">
        <v>12300184.82705349</v>
      </c>
      <c r="F292" s="17">
        <f>E292/E291-1</f>
        <v>0</v>
      </c>
      <c r="G292" s="14">
        <v>13612441.48977678</v>
      </c>
      <c r="H292" s="17">
        <f>G292/G291-1</f>
        <v>0</v>
      </c>
      <c r="I292" s="14">
        <f>MAX(I291,B292)</f>
        <v>0</v>
      </c>
      <c r="J292" s="17">
        <f>B292/I292-1</f>
        <v>0</v>
      </c>
    </row>
    <row r="293" spans="1:10">
      <c r="A293" s="6">
        <v>44620</v>
      </c>
      <c r="B293" s="14">
        <v>14825127.4886052</v>
      </c>
      <c r="D293" s="17">
        <f>B293/B292-1</f>
        <v>0</v>
      </c>
      <c r="E293" s="14">
        <v>12405284.75554075</v>
      </c>
      <c r="F293" s="17">
        <f>E293/E292-1</f>
        <v>0</v>
      </c>
      <c r="G293" s="14">
        <v>13709501.04934506</v>
      </c>
      <c r="H293" s="17">
        <f>G293/G292-1</f>
        <v>0</v>
      </c>
      <c r="I293" s="14">
        <f>MAX(I292,B293)</f>
        <v>0</v>
      </c>
      <c r="J293" s="17">
        <f>B293/I293-1</f>
        <v>0</v>
      </c>
    </row>
    <row r="294" spans="1:10">
      <c r="A294" s="6">
        <v>44622</v>
      </c>
      <c r="B294" s="14">
        <v>14802692.09431905</v>
      </c>
      <c r="D294" s="17">
        <f>B294/B293-1</f>
        <v>0</v>
      </c>
      <c r="E294" s="14">
        <v>12312106.88803808</v>
      </c>
      <c r="F294" s="17">
        <f>E294/E293-1</f>
        <v>0</v>
      </c>
      <c r="G294" s="14">
        <v>13681500.55017514</v>
      </c>
      <c r="H294" s="17">
        <f>G294/G293-1</f>
        <v>0</v>
      </c>
      <c r="I294" s="14">
        <f>MAX(I293,B294)</f>
        <v>0</v>
      </c>
      <c r="J294" s="17">
        <f>B294/I294-1</f>
        <v>0</v>
      </c>
    </row>
    <row r="295" spans="1:10">
      <c r="A295" s="6">
        <v>44623</v>
      </c>
      <c r="B295" s="14">
        <v>14947076.0745907</v>
      </c>
      <c r="D295" s="17">
        <f>B295/B294-1</f>
        <v>0</v>
      </c>
      <c r="E295" s="14">
        <v>12257331.60852457</v>
      </c>
      <c r="F295" s="17">
        <f>E295/E294-1</f>
        <v>0</v>
      </c>
      <c r="G295" s="14">
        <v>13651942.71402567</v>
      </c>
      <c r="H295" s="17">
        <f>G295/G294-1</f>
        <v>0</v>
      </c>
      <c r="I295" s="14">
        <f>MAX(I294,B295)</f>
        <v>0</v>
      </c>
      <c r="J295" s="17">
        <f>B295/I295-1</f>
        <v>0</v>
      </c>
    </row>
    <row r="296" spans="1:10">
      <c r="A296" s="6">
        <v>44624</v>
      </c>
      <c r="B296" s="14">
        <v>14757583.51694807</v>
      </c>
      <c r="D296" s="17">
        <f>B296/B295-1</f>
        <v>0</v>
      </c>
      <c r="E296" s="14">
        <v>12047382.73537602</v>
      </c>
      <c r="F296" s="17">
        <f>E296/E295-1</f>
        <v>0</v>
      </c>
      <c r="G296" s="14">
        <v>13398706.5645637</v>
      </c>
      <c r="H296" s="17">
        <f>G296/G295-1</f>
        <v>0</v>
      </c>
      <c r="I296" s="14">
        <f>MAX(I295,B296)</f>
        <v>0</v>
      </c>
      <c r="J296" s="17">
        <f>B296/I296-1</f>
        <v>0</v>
      </c>
    </row>
    <row r="297" spans="1:10">
      <c r="A297" s="6">
        <v>44627</v>
      </c>
      <c r="B297" s="14">
        <v>14680367.29533372</v>
      </c>
      <c r="D297" s="17">
        <f>B297/B296-1</f>
        <v>0</v>
      </c>
      <c r="E297" s="14">
        <v>11762751.92911491</v>
      </c>
      <c r="F297" s="17">
        <f>E297/E296-1</f>
        <v>0</v>
      </c>
      <c r="G297" s="14">
        <v>13115400.56654119</v>
      </c>
      <c r="H297" s="17">
        <f>G297/G296-1</f>
        <v>0</v>
      </c>
      <c r="I297" s="14">
        <f>MAX(I296,B297)</f>
        <v>0</v>
      </c>
      <c r="J297" s="17">
        <f>B297/I297-1</f>
        <v>0</v>
      </c>
    </row>
    <row r="298" spans="1:10">
      <c r="A298" s="6">
        <v>44628</v>
      </c>
      <c r="B298" s="14">
        <v>14858570.54643521</v>
      </c>
      <c r="D298" s="17">
        <f>B298/B297-1</f>
        <v>0</v>
      </c>
      <c r="E298" s="14">
        <v>11886886.31969425</v>
      </c>
      <c r="F298" s="17">
        <f>E298/E297-1</f>
        <v>0</v>
      </c>
      <c r="G298" s="14">
        <v>13279054.42037599</v>
      </c>
      <c r="H298" s="17">
        <f>G298/G297-1</f>
        <v>0</v>
      </c>
      <c r="I298" s="14">
        <f>MAX(I297,B298)</f>
        <v>0</v>
      </c>
      <c r="J298" s="17">
        <f>B298/I298-1</f>
        <v>0</v>
      </c>
    </row>
    <row r="299" spans="1:10">
      <c r="A299" s="6">
        <v>44629</v>
      </c>
      <c r="B299" s="14">
        <v>15071537.19666893</v>
      </c>
      <c r="D299" s="17">
        <f>B299/B298-1</f>
        <v>0</v>
      </c>
      <c r="E299" s="14">
        <v>12124075.36071539</v>
      </c>
      <c r="F299" s="17">
        <f>E299/E298-1</f>
        <v>0</v>
      </c>
      <c r="G299" s="14">
        <v>13531079.55639468</v>
      </c>
      <c r="H299" s="17">
        <f>G299/G298-1</f>
        <v>0</v>
      </c>
      <c r="I299" s="14">
        <f>MAX(I298,B299)</f>
        <v>0</v>
      </c>
      <c r="J299" s="17">
        <f>B299/I299-1</f>
        <v>0</v>
      </c>
    </row>
    <row r="300" spans="1:10">
      <c r="A300" s="6">
        <v>44630</v>
      </c>
      <c r="B300" s="14">
        <v>15309585.10663084</v>
      </c>
      <c r="D300" s="17">
        <f>B300/B299-1</f>
        <v>0</v>
      </c>
      <c r="E300" s="14">
        <v>12306259.19477894</v>
      </c>
      <c r="F300" s="17">
        <f>E300/E299-1</f>
        <v>0</v>
      </c>
      <c r="G300" s="14">
        <v>13715885.41213919</v>
      </c>
      <c r="H300" s="17">
        <f>G300/G299-1</f>
        <v>0</v>
      </c>
      <c r="I300" s="14">
        <f>MAX(I299,B300)</f>
        <v>0</v>
      </c>
      <c r="J300" s="17">
        <f>B300/I300-1</f>
        <v>0</v>
      </c>
    </row>
    <row r="301" spans="1:10">
      <c r="A301" s="6">
        <v>44631</v>
      </c>
      <c r="B301" s="14">
        <v>15445958.15454191</v>
      </c>
      <c r="D301" s="17">
        <f>B301/B300-1</f>
        <v>0</v>
      </c>
      <c r="E301" s="14">
        <v>12348606.51428633</v>
      </c>
      <c r="F301" s="17">
        <f>E301/E300-1</f>
        <v>0</v>
      </c>
      <c r="G301" s="14">
        <v>13806720.03816274</v>
      </c>
      <c r="H301" s="17">
        <f>G301/G300-1</f>
        <v>0</v>
      </c>
      <c r="I301" s="14">
        <f>MAX(I300,B301)</f>
        <v>0</v>
      </c>
      <c r="J301" s="17">
        <f>B301/I301-1</f>
        <v>0</v>
      </c>
    </row>
    <row r="302" spans="1:10">
      <c r="A302" s="6">
        <v>44634</v>
      </c>
      <c r="B302" s="14">
        <v>15618838.57360743</v>
      </c>
      <c r="D302" s="17">
        <f>B302/B301-1</f>
        <v>0</v>
      </c>
      <c r="E302" s="14">
        <v>12468411.25939774</v>
      </c>
      <c r="F302" s="17">
        <f>E302/E301-1</f>
        <v>0</v>
      </c>
      <c r="G302" s="14">
        <v>13819477.09133164</v>
      </c>
      <c r="H302" s="17">
        <f>G302/G301-1</f>
        <v>0</v>
      </c>
      <c r="I302" s="14">
        <f>MAX(I301,B302)</f>
        <v>0</v>
      </c>
      <c r="J302" s="17">
        <f>B302/I302-1</f>
        <v>0</v>
      </c>
    </row>
    <row r="303" spans="1:10">
      <c r="A303" s="6">
        <v>44635</v>
      </c>
      <c r="B303" s="14">
        <v>15371879.6006005</v>
      </c>
      <c r="D303" s="17">
        <f>B303/B302-1</f>
        <v>0</v>
      </c>
      <c r="E303" s="14">
        <v>12331306.52922526</v>
      </c>
      <c r="F303" s="17">
        <f>E303/E302-1</f>
        <v>0</v>
      </c>
      <c r="G303" s="14">
        <v>13704599.11855889</v>
      </c>
      <c r="H303" s="17">
        <f>G303/G302-1</f>
        <v>0</v>
      </c>
      <c r="I303" s="14">
        <f>MAX(I302,B303)</f>
        <v>0</v>
      </c>
      <c r="J303" s="17">
        <f>B303/I303-1</f>
        <v>0</v>
      </c>
    </row>
    <row r="304" spans="1:10">
      <c r="A304" s="6">
        <v>44636</v>
      </c>
      <c r="B304" s="14">
        <v>15570690.78834096</v>
      </c>
      <c r="D304" s="17">
        <f>B304/B303-1</f>
        <v>0</v>
      </c>
      <c r="E304" s="14">
        <v>12562587.88695309</v>
      </c>
      <c r="F304" s="17">
        <f>E304/E303-1</f>
        <v>0</v>
      </c>
      <c r="G304" s="14">
        <v>13926112.85528594</v>
      </c>
      <c r="H304" s="17">
        <f>G304/G303-1</f>
        <v>0</v>
      </c>
      <c r="I304" s="14">
        <f>MAX(I303,B304)</f>
        <v>0</v>
      </c>
      <c r="J304" s="17">
        <f>B304/I304-1</f>
        <v>0</v>
      </c>
    </row>
    <row r="305" spans="1:10">
      <c r="A305" s="6">
        <v>44637</v>
      </c>
      <c r="B305" s="14">
        <v>15591300.35729362</v>
      </c>
      <c r="D305" s="17">
        <f>B305/B304-1</f>
        <v>0</v>
      </c>
      <c r="E305" s="14">
        <v>12771293.50795582</v>
      </c>
      <c r="F305" s="17">
        <f>E305/E304-1</f>
        <v>0</v>
      </c>
      <c r="G305" s="14">
        <v>14093154.43766511</v>
      </c>
      <c r="H305" s="17">
        <f>G305/G304-1</f>
        <v>0</v>
      </c>
      <c r="I305" s="14">
        <f>MAX(I304,B305)</f>
        <v>0</v>
      </c>
      <c r="J305" s="17">
        <f>B305/I305-1</f>
        <v>0</v>
      </c>
    </row>
    <row r="306" spans="1:10">
      <c r="A306" s="6">
        <v>44641</v>
      </c>
      <c r="B306" s="14">
        <v>15428662.45893501</v>
      </c>
      <c r="D306" s="17">
        <f>B306/B305-1</f>
        <v>0</v>
      </c>
      <c r="E306" s="14">
        <v>12668363.25936544</v>
      </c>
      <c r="F306" s="17">
        <f>E306/E305-1</f>
        <v>0</v>
      </c>
      <c r="G306" s="14">
        <v>14004428.64446495</v>
      </c>
      <c r="H306" s="17">
        <f>G306/G305-1</f>
        <v>0</v>
      </c>
      <c r="I306" s="14">
        <f>MAX(I305,B306)</f>
        <v>0</v>
      </c>
      <c r="J306" s="17">
        <f>B306/I306-1</f>
        <v>0</v>
      </c>
    </row>
    <row r="307" spans="1:10">
      <c r="A307" s="6">
        <v>44642</v>
      </c>
      <c r="B307" s="14">
        <v>15556238.85817879</v>
      </c>
      <c r="D307" s="17">
        <f>B307/B306-1</f>
        <v>0</v>
      </c>
      <c r="E307" s="14">
        <v>12774548.30975731</v>
      </c>
      <c r="F307" s="17">
        <f>E307/E306-1</f>
        <v>0</v>
      </c>
      <c r="G307" s="14">
        <v>14037066.91952293</v>
      </c>
      <c r="H307" s="17">
        <f>G307/G306-1</f>
        <v>0</v>
      </c>
      <c r="I307" s="14">
        <f>MAX(I306,B307)</f>
        <v>0</v>
      </c>
      <c r="J307" s="17">
        <f>B307/I307-1</f>
        <v>0</v>
      </c>
    </row>
    <row r="308" spans="1:10">
      <c r="A308" s="6">
        <v>44643</v>
      </c>
      <c r="B308" s="14">
        <v>15626017.32824785</v>
      </c>
      <c r="D308" s="17">
        <f>B308/B307-1</f>
        <v>0</v>
      </c>
      <c r="E308" s="14">
        <v>12750083.56315254</v>
      </c>
      <c r="F308" s="17">
        <f>E308/E307-1</f>
        <v>0</v>
      </c>
      <c r="G308" s="14">
        <v>14040544.47970466</v>
      </c>
      <c r="H308" s="17">
        <f>G308/G307-1</f>
        <v>0</v>
      </c>
      <c r="I308" s="14">
        <f>MAX(I307,B308)</f>
        <v>0</v>
      </c>
      <c r="J308" s="17">
        <f>B308/I308-1</f>
        <v>0</v>
      </c>
    </row>
    <row r="309" spans="1:10">
      <c r="A309" s="6">
        <v>44644</v>
      </c>
      <c r="B309" s="14">
        <v>15846935.99103531</v>
      </c>
      <c r="D309" s="17">
        <f>B309/B308-1</f>
        <v>0</v>
      </c>
      <c r="E309" s="14">
        <v>12754334.11536679</v>
      </c>
      <c r="F309" s="17">
        <f>E309/E308-1</f>
        <v>0</v>
      </c>
      <c r="G309" s="14">
        <v>14060982.91227235</v>
      </c>
      <c r="H309" s="17">
        <f>G309/G308-1</f>
        <v>0</v>
      </c>
      <c r="I309" s="14">
        <f>MAX(I308,B309)</f>
        <v>0</v>
      </c>
      <c r="J309" s="17">
        <f>B309/I309-1</f>
        <v>0</v>
      </c>
    </row>
    <row r="310" spans="1:10">
      <c r="A310" s="6">
        <v>44645</v>
      </c>
      <c r="B310" s="14">
        <v>15950844.22021087</v>
      </c>
      <c r="D310" s="17">
        <f>B310/B309-1</f>
        <v>0</v>
      </c>
      <c r="E310" s="14">
        <v>12713597.01308669</v>
      </c>
      <c r="F310" s="17">
        <f>E310/E309-1</f>
        <v>0</v>
      </c>
      <c r="G310" s="14">
        <v>14023620.73367951</v>
      </c>
      <c r="H310" s="17">
        <f>G310/G309-1</f>
        <v>0</v>
      </c>
      <c r="I310" s="14">
        <f>MAX(I309,B310)</f>
        <v>0</v>
      </c>
      <c r="J310" s="17">
        <f>B310/I310-1</f>
        <v>0</v>
      </c>
    </row>
    <row r="311" spans="1:10">
      <c r="A311" s="6">
        <v>44648</v>
      </c>
      <c r="B311" s="14">
        <v>15963032.04129369</v>
      </c>
      <c r="D311" s="17">
        <f>B311/B310-1</f>
        <v>0</v>
      </c>
      <c r="E311" s="14">
        <v>12735157.39113402</v>
      </c>
      <c r="F311" s="17">
        <f>E311/E310-1</f>
        <v>0</v>
      </c>
      <c r="G311" s="14">
        <v>13970439.9762031</v>
      </c>
      <c r="H311" s="17">
        <f>G311/G310-1</f>
        <v>0</v>
      </c>
      <c r="I311" s="14">
        <f>MAX(I310,B311)</f>
        <v>0</v>
      </c>
      <c r="J311" s="17">
        <f>B311/I311-1</f>
        <v>0</v>
      </c>
    </row>
    <row r="312" spans="1:10">
      <c r="A312" s="6">
        <v>44649</v>
      </c>
      <c r="B312" s="14">
        <v>15824790.03602588</v>
      </c>
      <c r="D312" s="17">
        <f>B312/B311-1</f>
        <v>0</v>
      </c>
      <c r="E312" s="14">
        <v>12810435.50018803</v>
      </c>
      <c r="F312" s="17">
        <f>E312/E311-1</f>
        <v>0</v>
      </c>
      <c r="G312" s="14">
        <v>14043148.13864227</v>
      </c>
      <c r="H312" s="17">
        <f>G312/G311-1</f>
        <v>0</v>
      </c>
      <c r="I312" s="14">
        <f>MAX(I311,B312)</f>
        <v>0</v>
      </c>
      <c r="J312" s="17">
        <f>B312/I312-1</f>
        <v>0</v>
      </c>
    </row>
    <row r="313" spans="1:10">
      <c r="A313" s="6">
        <v>44650</v>
      </c>
      <c r="B313" s="14">
        <v>15905441.99532676</v>
      </c>
      <c r="D313" s="17">
        <f>B313/B312-1</f>
        <v>0</v>
      </c>
      <c r="E313" s="14">
        <v>12928199.05446601</v>
      </c>
      <c r="F313" s="17">
        <f>E313/E312-1</f>
        <v>0</v>
      </c>
      <c r="G313" s="14">
        <v>14162986.86143504</v>
      </c>
      <c r="H313" s="17">
        <f>G313/G312-1</f>
        <v>0</v>
      </c>
      <c r="I313" s="14">
        <f>MAX(I312,B313)</f>
        <v>0</v>
      </c>
      <c r="J313" s="17">
        <f>B313/I313-1</f>
        <v>0</v>
      </c>
    </row>
    <row r="314" spans="1:10">
      <c r="A314" s="6">
        <v>44651</v>
      </c>
      <c r="B314" s="14">
        <v>15845879.36886461</v>
      </c>
      <c r="D314" s="17">
        <f>B314/B313-1</f>
        <v>0</v>
      </c>
      <c r="E314" s="14">
        <v>12926731.51622652</v>
      </c>
      <c r="F314" s="17">
        <f>E314/E313-1</f>
        <v>0</v>
      </c>
      <c r="G314" s="14">
        <v>14195565.63899014</v>
      </c>
      <c r="H314" s="17">
        <f>G314/G313-1</f>
        <v>0</v>
      </c>
      <c r="I314" s="14">
        <f>MAX(I313,B314)</f>
        <v>0</v>
      </c>
      <c r="J314" s="17">
        <f>B314/I314-1</f>
        <v>0</v>
      </c>
    </row>
    <row r="315" spans="1:10">
      <c r="A315" s="6">
        <v>44652</v>
      </c>
      <c r="B315" s="14">
        <v>15928059.50422771</v>
      </c>
      <c r="D315" s="17">
        <f>B315/B314-1</f>
        <v>0</v>
      </c>
      <c r="E315" s="14">
        <v>13094675.37132698</v>
      </c>
      <c r="F315" s="17">
        <f>E315/E314-1</f>
        <v>0</v>
      </c>
      <c r="G315" s="14">
        <v>14446959.63250316</v>
      </c>
      <c r="H315" s="17">
        <f>G315/G314-1</f>
        <v>0</v>
      </c>
      <c r="I315" s="14">
        <f>MAX(I314,B315)</f>
        <v>0</v>
      </c>
      <c r="J315" s="17">
        <f>B315/I315-1</f>
        <v>0</v>
      </c>
    </row>
    <row r="316" spans="1:10">
      <c r="A316" s="6">
        <v>44655</v>
      </c>
      <c r="B316" s="14">
        <v>16221650.29223272</v>
      </c>
      <c r="D316" s="17">
        <f>B316/B315-1</f>
        <v>0</v>
      </c>
      <c r="E316" s="14">
        <v>13352986.80274091</v>
      </c>
      <c r="F316" s="17">
        <f>E316/E315-1</f>
        <v>0</v>
      </c>
      <c r="G316" s="14">
        <v>14674816.50880946</v>
      </c>
      <c r="H316" s="17">
        <f>G316/G315-1</f>
        <v>0</v>
      </c>
      <c r="I316" s="14">
        <f>MAX(I315,B316)</f>
        <v>0</v>
      </c>
      <c r="J316" s="17">
        <f>B316/I316-1</f>
        <v>0</v>
      </c>
    </row>
    <row r="317" spans="1:10">
      <c r="A317" s="6">
        <v>44656</v>
      </c>
      <c r="B317" s="14">
        <v>16492242.66873774</v>
      </c>
      <c r="D317" s="17">
        <f>B317/B316-1</f>
        <v>0</v>
      </c>
      <c r="E317" s="14">
        <v>13359090.685398</v>
      </c>
      <c r="F317" s="17">
        <f>E317/E316-1</f>
        <v>0</v>
      </c>
      <c r="G317" s="14">
        <v>14847107.86228475</v>
      </c>
      <c r="H317" s="17">
        <f>G317/G316-1</f>
        <v>0</v>
      </c>
      <c r="I317" s="14">
        <f>MAX(I316,B317)</f>
        <v>0</v>
      </c>
      <c r="J317" s="17">
        <f>B317/I317-1</f>
        <v>0</v>
      </c>
    </row>
    <row r="318" spans="1:10">
      <c r="A318" s="6">
        <v>44657</v>
      </c>
      <c r="B318" s="14">
        <v>16544420.84074238</v>
      </c>
      <c r="D318" s="17">
        <f>B318/B317-1</f>
        <v>0</v>
      </c>
      <c r="E318" s="14">
        <v>13305389.81567923</v>
      </c>
      <c r="F318" s="17">
        <f>E318/E317-1</f>
        <v>0</v>
      </c>
      <c r="G318" s="14">
        <v>14880672.17949446</v>
      </c>
      <c r="H318" s="17">
        <f>G318/G317-1</f>
        <v>0</v>
      </c>
      <c r="I318" s="14">
        <f>MAX(I317,B318)</f>
        <v>0</v>
      </c>
      <c r="J318" s="17">
        <f>B318/I318-1</f>
        <v>0</v>
      </c>
    </row>
    <row r="319" spans="1:10">
      <c r="A319" s="6">
        <v>44658</v>
      </c>
      <c r="B319" s="14">
        <v>16417782.98428288</v>
      </c>
      <c r="D319" s="17">
        <f>B319/B318-1</f>
        <v>0</v>
      </c>
      <c r="E319" s="14">
        <v>13196084.48549034</v>
      </c>
      <c r="F319" s="17">
        <f>E319/E318-1</f>
        <v>0</v>
      </c>
      <c r="G319" s="14">
        <v>14810089.77351084</v>
      </c>
      <c r="H319" s="17">
        <f>G319/G318-1</f>
        <v>0</v>
      </c>
      <c r="I319" s="14">
        <f>MAX(I318,B319)</f>
        <v>0</v>
      </c>
      <c r="J319" s="17">
        <f>B319/I319-1</f>
        <v>0</v>
      </c>
    </row>
    <row r="320" spans="1:10">
      <c r="A320" s="6">
        <v>44659</v>
      </c>
      <c r="B320" s="14">
        <v>16524654.87774029</v>
      </c>
      <c r="D320" s="17">
        <f>B320/B319-1</f>
        <v>0</v>
      </c>
      <c r="E320" s="14">
        <v>13319244.40437571</v>
      </c>
      <c r="F320" s="17">
        <f>E320/E319-1</f>
        <v>0</v>
      </c>
      <c r="G320" s="14">
        <v>14955094.5826414</v>
      </c>
      <c r="H320" s="17">
        <f>G320/G319-1</f>
        <v>0</v>
      </c>
      <c r="I320" s="14">
        <f>MAX(I319,B320)</f>
        <v>0</v>
      </c>
      <c r="J320" s="17">
        <f>B320/I320-1</f>
        <v>0</v>
      </c>
    </row>
    <row r="321" spans="1:10">
      <c r="A321" s="6">
        <v>44662</v>
      </c>
      <c r="B321" s="14">
        <v>16509867.66285038</v>
      </c>
      <c r="D321" s="17">
        <f>B321/B320-1</f>
        <v>0</v>
      </c>
      <c r="E321" s="14">
        <v>13305206.86693563</v>
      </c>
      <c r="F321" s="17">
        <f>E321/E320-1</f>
        <v>0</v>
      </c>
      <c r="G321" s="14">
        <v>15024400.14945747</v>
      </c>
      <c r="H321" s="17">
        <f>G321/G320-1</f>
        <v>0</v>
      </c>
      <c r="I321" s="14">
        <f>MAX(I320,B321)</f>
        <v>0</v>
      </c>
      <c r="J321" s="17">
        <f>B321/I321-1</f>
        <v>0</v>
      </c>
    </row>
    <row r="322" spans="1:10">
      <c r="A322" s="6">
        <v>44663</v>
      </c>
      <c r="B322" s="14">
        <v>16226614.77829707</v>
      </c>
      <c r="D322" s="17">
        <f>B322/B321-1</f>
        <v>0</v>
      </c>
      <c r="E322" s="14">
        <v>13166238.17321386</v>
      </c>
      <c r="F322" s="17">
        <f>E322/E321-1</f>
        <v>0</v>
      </c>
      <c r="G322" s="14">
        <v>14802779.73361356</v>
      </c>
      <c r="H322" s="17">
        <f>G322/G321-1</f>
        <v>0</v>
      </c>
      <c r="I322" s="14">
        <f>MAX(I321,B322)</f>
        <v>0</v>
      </c>
      <c r="J322" s="17">
        <f>B322/I322-1</f>
        <v>0</v>
      </c>
    </row>
    <row r="323" spans="1:10">
      <c r="A323" s="6">
        <v>44664</v>
      </c>
      <c r="B323" s="14">
        <v>16114512.8835395</v>
      </c>
      <c r="D323" s="17">
        <f>B323/B322-1</f>
        <v>0</v>
      </c>
      <c r="E323" s="14">
        <v>13144160.94451209</v>
      </c>
      <c r="F323" s="17">
        <f>E323/E322-1</f>
        <v>0</v>
      </c>
      <c r="G323" s="14">
        <v>14813913.15657864</v>
      </c>
      <c r="H323" s="17">
        <f>G323/G322-1</f>
        <v>0</v>
      </c>
      <c r="I323" s="14">
        <f>MAX(I322,B323)</f>
        <v>0</v>
      </c>
      <c r="J323" s="17">
        <f>B323/I323-1</f>
        <v>0</v>
      </c>
    </row>
    <row r="324" spans="1:10">
      <c r="A324" s="6">
        <v>44669</v>
      </c>
      <c r="B324" s="14">
        <v>15877452.44275054</v>
      </c>
      <c r="D324" s="17">
        <f>B324/B323-1</f>
        <v>0</v>
      </c>
      <c r="E324" s="14">
        <v>12960282.11660655</v>
      </c>
      <c r="F324" s="17">
        <f>E324/E323-1</f>
        <v>0</v>
      </c>
      <c r="G324" s="14">
        <v>14694629.43978113</v>
      </c>
      <c r="H324" s="17">
        <f>G324/G323-1</f>
        <v>0</v>
      </c>
      <c r="I324" s="14">
        <f>MAX(I323,B324)</f>
        <v>0</v>
      </c>
      <c r="J324" s="17">
        <f>B324/I324-1</f>
        <v>0</v>
      </c>
    </row>
    <row r="325" spans="1:10">
      <c r="A325" s="6">
        <v>44670</v>
      </c>
      <c r="B325" s="14">
        <v>15735375.10342511</v>
      </c>
      <c r="D325" s="17">
        <f>B325/B324-1</f>
        <v>0</v>
      </c>
      <c r="E325" s="14">
        <v>12787760.85423031</v>
      </c>
      <c r="F325" s="17">
        <f>E325/E324-1</f>
        <v>0</v>
      </c>
      <c r="G325" s="14">
        <v>14509537.54082336</v>
      </c>
      <c r="H325" s="17">
        <f>G325/G324-1</f>
        <v>0</v>
      </c>
      <c r="I325" s="14">
        <f>MAX(I324,B325)</f>
        <v>0</v>
      </c>
      <c r="J325" s="17">
        <f>B325/I325-1</f>
        <v>0</v>
      </c>
    </row>
    <row r="326" spans="1:10">
      <c r="A326" s="6">
        <v>44671</v>
      </c>
      <c r="B326" s="14">
        <v>15806627.36669278</v>
      </c>
      <c r="D326" s="17">
        <f>B326/B325-1</f>
        <v>0</v>
      </c>
      <c r="E326" s="14">
        <v>12895739.70588571</v>
      </c>
      <c r="F326" s="17">
        <f>E326/E325-1</f>
        <v>0</v>
      </c>
      <c r="G326" s="14">
        <v>14579204.46284035</v>
      </c>
      <c r="H326" s="17">
        <f>G326/G325-1</f>
        <v>0</v>
      </c>
      <c r="I326" s="14">
        <f>MAX(I325,B326)</f>
        <v>0</v>
      </c>
      <c r="J326" s="17">
        <f>B326/I326-1</f>
        <v>0</v>
      </c>
    </row>
    <row r="327" spans="1:10">
      <c r="A327" s="6">
        <v>44672</v>
      </c>
      <c r="B327" s="14">
        <v>15935064.26197466</v>
      </c>
      <c r="D327" s="17">
        <f>B327/B326-1</f>
        <v>0</v>
      </c>
      <c r="E327" s="14">
        <v>13073200.21358507</v>
      </c>
      <c r="F327" s="17">
        <f>E327/E326-1</f>
        <v>0</v>
      </c>
      <c r="G327" s="14">
        <v>14777048.44096054</v>
      </c>
      <c r="H327" s="17">
        <f>G327/G326-1</f>
        <v>0</v>
      </c>
      <c r="I327" s="14">
        <f>MAX(I326,B327)</f>
        <v>0</v>
      </c>
      <c r="J327" s="17">
        <f>B327/I327-1</f>
        <v>0</v>
      </c>
    </row>
    <row r="328" spans="1:10">
      <c r="A328" s="6">
        <v>44673</v>
      </c>
      <c r="B328" s="14">
        <v>15839888.19182818</v>
      </c>
      <c r="D328" s="17">
        <f>B328/B327-1</f>
        <v>0</v>
      </c>
      <c r="E328" s="14">
        <v>12935656.10049531</v>
      </c>
      <c r="F328" s="17">
        <f>E328/E327-1</f>
        <v>0</v>
      </c>
      <c r="G328" s="14">
        <v>14672394.90445407</v>
      </c>
      <c r="H328" s="17">
        <f>G328/G327-1</f>
        <v>0</v>
      </c>
      <c r="I328" s="14">
        <f>MAX(I327,B328)</f>
        <v>0</v>
      </c>
      <c r="J328" s="17">
        <f>B328/I328-1</f>
        <v>0</v>
      </c>
    </row>
    <row r="329" spans="1:10">
      <c r="A329" s="6">
        <v>44676</v>
      </c>
      <c r="B329" s="14">
        <v>15573764.07015421</v>
      </c>
      <c r="D329" s="17">
        <f>B329/B328-1</f>
        <v>0</v>
      </c>
      <c r="E329" s="14">
        <v>12743603.4551524</v>
      </c>
      <c r="F329" s="17">
        <f>E329/E328-1</f>
        <v>0</v>
      </c>
      <c r="G329" s="14">
        <v>14415922.32104695</v>
      </c>
      <c r="H329" s="17">
        <f>G329/G328-1</f>
        <v>0</v>
      </c>
      <c r="I329" s="14">
        <f>MAX(I328,B329)</f>
        <v>0</v>
      </c>
      <c r="J329" s="17">
        <f>B329/I329-1</f>
        <v>0</v>
      </c>
    </row>
    <row r="330" spans="1:10">
      <c r="A330" s="6">
        <v>44677</v>
      </c>
      <c r="B330" s="14">
        <v>15919311.88663539</v>
      </c>
      <c r="D330" s="17">
        <f>B330/B329-1</f>
        <v>0</v>
      </c>
      <c r="E330" s="14">
        <v>12939928.01035134</v>
      </c>
      <c r="F330" s="17">
        <f>E330/E329-1</f>
        <v>0</v>
      </c>
      <c r="G330" s="14">
        <v>14611801.36246872</v>
      </c>
      <c r="H330" s="17">
        <f>G330/G329-1</f>
        <v>0</v>
      </c>
      <c r="I330" s="14">
        <f>MAX(I329,B330)</f>
        <v>0</v>
      </c>
      <c r="J330" s="17">
        <f>B330/I330-1</f>
        <v>0</v>
      </c>
    </row>
    <row r="331" spans="1:10">
      <c r="A331" s="6">
        <v>44678</v>
      </c>
      <c r="B331" s="14">
        <v>15882406.57669971</v>
      </c>
      <c r="D331" s="17">
        <f>B331/B330-1</f>
        <v>0</v>
      </c>
      <c r="E331" s="14">
        <v>12816906.76466965</v>
      </c>
      <c r="F331" s="17">
        <f>E331/E330-1</f>
        <v>0</v>
      </c>
      <c r="G331" s="14">
        <v>14507885.25754472</v>
      </c>
      <c r="H331" s="17">
        <f>G331/G330-1</f>
        <v>0</v>
      </c>
      <c r="I331" s="14">
        <f>MAX(I330,B331)</f>
        <v>0</v>
      </c>
      <c r="J331" s="17">
        <f>B331/I331-1</f>
        <v>0</v>
      </c>
    </row>
    <row r="332" spans="1:10">
      <c r="A332" s="6">
        <v>44679</v>
      </c>
      <c r="B332" s="14">
        <v>16020315.54732474</v>
      </c>
      <c r="D332" s="17">
        <f>B332/B331-1</f>
        <v>0</v>
      </c>
      <c r="E332" s="14">
        <v>12954667.71600462</v>
      </c>
      <c r="F332" s="17">
        <f>E332/E331-1</f>
        <v>0</v>
      </c>
      <c r="G332" s="14">
        <v>14618363.00954475</v>
      </c>
      <c r="H332" s="17">
        <f>G332/G331-1</f>
        <v>0</v>
      </c>
      <c r="I332" s="14">
        <f>MAX(I331,B332)</f>
        <v>0</v>
      </c>
      <c r="J332" s="17">
        <f>B332/I332-1</f>
        <v>0</v>
      </c>
    </row>
    <row r="333" spans="1:10">
      <c r="A333" s="6">
        <v>44680</v>
      </c>
      <c r="B333" s="14">
        <v>15867991.98871706</v>
      </c>
      <c r="D333" s="17">
        <f>B333/B332-1</f>
        <v>0</v>
      </c>
      <c r="E333" s="14">
        <v>12841884.22363064</v>
      </c>
      <c r="F333" s="17">
        <f>E333/E332-1</f>
        <v>0</v>
      </c>
      <c r="G333" s="14">
        <v>14492622.82984708</v>
      </c>
      <c r="H333" s="17">
        <f>G333/G332-1</f>
        <v>0</v>
      </c>
      <c r="I333" s="14">
        <f>MAX(I332,B333)</f>
        <v>0</v>
      </c>
      <c r="J333" s="17">
        <f>B333/I333-1</f>
        <v>0</v>
      </c>
    </row>
    <row r="334" spans="1:10">
      <c r="A334" s="6">
        <v>44683</v>
      </c>
      <c r="B334" s="14">
        <v>15810560.04684964</v>
      </c>
      <c r="D334" s="17">
        <f>B334/B333-1</f>
        <v>0</v>
      </c>
      <c r="E334" s="14">
        <v>12801624.88650476</v>
      </c>
      <c r="F334" s="17">
        <f>E334/E333-1</f>
        <v>0</v>
      </c>
      <c r="G334" s="14">
        <v>14408781.16847949</v>
      </c>
      <c r="H334" s="17">
        <f>G334/G333-1</f>
        <v>0</v>
      </c>
      <c r="I334" s="14">
        <f>MAX(I333,B334)</f>
        <v>0</v>
      </c>
      <c r="J334" s="17">
        <f>B334/I334-1</f>
        <v>0</v>
      </c>
    </row>
    <row r="335" spans="1:10">
      <c r="A335" s="6">
        <v>44685</v>
      </c>
      <c r="B335" s="14">
        <v>15673862.19361236</v>
      </c>
      <c r="D335" s="17">
        <f>B335/B334-1</f>
        <v>0</v>
      </c>
      <c r="E335" s="14">
        <v>12504308.96952498</v>
      </c>
      <c r="F335" s="17">
        <f>E335/E334-1</f>
        <v>0</v>
      </c>
      <c r="G335" s="14">
        <v>14070938.37033545</v>
      </c>
      <c r="H335" s="17">
        <f>G335/G334-1</f>
        <v>0</v>
      </c>
      <c r="I335" s="14">
        <f>MAX(I334,B335)</f>
        <v>0</v>
      </c>
      <c r="J335" s="17">
        <f>B335/I335-1</f>
        <v>0</v>
      </c>
    </row>
    <row r="336" spans="1:10">
      <c r="A336" s="6">
        <v>44686</v>
      </c>
      <c r="B336" s="14">
        <v>15529151.66364261</v>
      </c>
      <c r="D336" s="17">
        <f>B336/B335-1</f>
        <v>0</v>
      </c>
      <c r="E336" s="14">
        <v>12506772.57758741</v>
      </c>
      <c r="F336" s="17">
        <f>E336/E335-1</f>
        <v>0</v>
      </c>
      <c r="G336" s="14">
        <v>14033666.60177427</v>
      </c>
      <c r="H336" s="17">
        <f>G336/G335-1</f>
        <v>0</v>
      </c>
      <c r="I336" s="14">
        <f>MAX(I335,B336)</f>
        <v>0</v>
      </c>
      <c r="J336" s="17">
        <f>B336/I336-1</f>
        <v>0</v>
      </c>
    </row>
    <row r="337" spans="1:10">
      <c r="A337" s="6">
        <v>44687</v>
      </c>
      <c r="B337" s="14">
        <v>15404260.9708259</v>
      </c>
      <c r="D337" s="17">
        <f>B337/B336-1</f>
        <v>0</v>
      </c>
      <c r="E337" s="14">
        <v>12290385.99437387</v>
      </c>
      <c r="F337" s="17">
        <f>E337/E336-1</f>
        <v>0</v>
      </c>
      <c r="G337" s="14">
        <v>13778458.72938666</v>
      </c>
      <c r="H337" s="17">
        <f>G337/G336-1</f>
        <v>0</v>
      </c>
      <c r="I337" s="14">
        <f>MAX(I336,B337)</f>
        <v>0</v>
      </c>
      <c r="J337" s="17">
        <f>B337/I337-1</f>
        <v>0</v>
      </c>
    </row>
    <row r="338" spans="1:10">
      <c r="A338" s="6">
        <v>44690</v>
      </c>
      <c r="B338" s="14">
        <v>15154190.65517748</v>
      </c>
      <c r="D338" s="17">
        <f>B338/B337-1</f>
        <v>0</v>
      </c>
      <c r="E338" s="14">
        <v>12157169.97179895</v>
      </c>
      <c r="F338" s="17">
        <f>E338/E337-1</f>
        <v>0</v>
      </c>
      <c r="G338" s="14">
        <v>13576739.005793</v>
      </c>
      <c r="H338" s="17">
        <f>G338/G337-1</f>
        <v>0</v>
      </c>
      <c r="I338" s="14">
        <f>MAX(I337,B338)</f>
        <v>0</v>
      </c>
      <c r="J338" s="17">
        <f>B338/I338-1</f>
        <v>0</v>
      </c>
    </row>
    <row r="339" spans="1:10">
      <c r="A339" s="6">
        <v>44691</v>
      </c>
      <c r="B339" s="14">
        <v>14841590.77707556</v>
      </c>
      <c r="D339" s="17">
        <f>B339/B338-1</f>
        <v>0</v>
      </c>
      <c r="E339" s="14">
        <v>12039754.9734054</v>
      </c>
      <c r="F339" s="17">
        <f>E339/E338-1</f>
        <v>0</v>
      </c>
      <c r="G339" s="14">
        <v>13346041.61980716</v>
      </c>
      <c r="H339" s="17">
        <f>G339/G338-1</f>
        <v>0</v>
      </c>
      <c r="I339" s="14">
        <f>MAX(I338,B339)</f>
        <v>0</v>
      </c>
      <c r="J339" s="17">
        <f>B339/I339-1</f>
        <v>0</v>
      </c>
    </row>
    <row r="340" spans="1:10">
      <c r="A340" s="6">
        <v>44692</v>
      </c>
      <c r="B340" s="14">
        <v>14819739.39176908</v>
      </c>
      <c r="D340" s="17">
        <f>B340/B339-1</f>
        <v>0</v>
      </c>
      <c r="E340" s="14">
        <v>11967208.07814161</v>
      </c>
      <c r="F340" s="17">
        <f>E340/E339-1</f>
        <v>0</v>
      </c>
      <c r="G340" s="14">
        <v>13170425.26066051</v>
      </c>
      <c r="H340" s="17">
        <f>G340/G339-1</f>
        <v>0</v>
      </c>
      <c r="I340" s="14">
        <f>MAX(I339,B340)</f>
        <v>0</v>
      </c>
      <c r="J340" s="17">
        <f>B340/I340-1</f>
        <v>0</v>
      </c>
    </row>
    <row r="341" spans="1:10">
      <c r="A341" s="6">
        <v>44693</v>
      </c>
      <c r="B341" s="14">
        <v>14455281.75240844</v>
      </c>
      <c r="D341" s="17">
        <f>B341/B340-1</f>
        <v>0</v>
      </c>
      <c r="E341" s="14">
        <v>11701396.98184491</v>
      </c>
      <c r="F341" s="17">
        <f>E341/E340-1</f>
        <v>0</v>
      </c>
      <c r="G341" s="14">
        <v>12912513.54858289</v>
      </c>
      <c r="H341" s="17">
        <f>G341/G340-1</f>
        <v>0</v>
      </c>
      <c r="I341" s="14">
        <f>MAX(I340,B341)</f>
        <v>0</v>
      </c>
      <c r="J341" s="17">
        <f>B341/I341-1</f>
        <v>0</v>
      </c>
    </row>
    <row r="342" spans="1:10">
      <c r="A342" s="6">
        <v>44694</v>
      </c>
      <c r="B342" s="14">
        <v>14673803.03930188</v>
      </c>
      <c r="D342" s="17">
        <f>B342/B341-1</f>
        <v>0</v>
      </c>
      <c r="E342" s="14">
        <v>11707385.48519552</v>
      </c>
      <c r="F342" s="17">
        <f>E342/E341-1</f>
        <v>0</v>
      </c>
      <c r="G342" s="14">
        <v>12996651.0963739</v>
      </c>
      <c r="H342" s="17">
        <f>G342/G341-1</f>
        <v>0</v>
      </c>
      <c r="I342" s="14">
        <f>MAX(I341,B342)</f>
        <v>0</v>
      </c>
      <c r="J342" s="17">
        <f>B342/I342-1</f>
        <v>0</v>
      </c>
    </row>
    <row r="343" spans="1:10">
      <c r="A343" s="6">
        <v>44697</v>
      </c>
      <c r="B343" s="14">
        <v>14706204.70703842</v>
      </c>
      <c r="D343" s="17">
        <f>B343/B342-1</f>
        <v>0</v>
      </c>
      <c r="E343" s="14">
        <v>11794587.27469642</v>
      </c>
      <c r="F343" s="17">
        <f>E343/E342-1</f>
        <v>0</v>
      </c>
      <c r="G343" s="14">
        <v>13155610.92262284</v>
      </c>
      <c r="H343" s="17">
        <f>G343/G342-1</f>
        <v>0</v>
      </c>
      <c r="I343" s="14">
        <f>MAX(I342,B343)</f>
        <v>0</v>
      </c>
      <c r="J343" s="17">
        <f>B343/I343-1</f>
        <v>0</v>
      </c>
    </row>
    <row r="344" spans="1:10">
      <c r="A344" s="6">
        <v>44698</v>
      </c>
      <c r="B344" s="14">
        <v>14911520.34103312</v>
      </c>
      <c r="D344" s="17">
        <f>B344/B343-1</f>
        <v>0</v>
      </c>
      <c r="E344" s="14">
        <v>12103544.98299604</v>
      </c>
      <c r="F344" s="17">
        <f>E344/E343-1</f>
        <v>0</v>
      </c>
      <c r="G344" s="14">
        <v>13517466.90537491</v>
      </c>
      <c r="H344" s="17">
        <f>G344/G343-1</f>
        <v>0</v>
      </c>
      <c r="I344" s="14">
        <f>MAX(I343,B344)</f>
        <v>0</v>
      </c>
      <c r="J344" s="17">
        <f>B344/I344-1</f>
        <v>0</v>
      </c>
    </row>
    <row r="345" spans="1:10">
      <c r="A345" s="6">
        <v>44699</v>
      </c>
      <c r="B345" s="14">
        <v>14992652.01322546</v>
      </c>
      <c r="D345" s="17">
        <f>B345/B344-1</f>
        <v>0</v>
      </c>
      <c r="E345" s="14">
        <v>12097299.01279758</v>
      </c>
      <c r="F345" s="17">
        <f>E345/E344-1</f>
        <v>0</v>
      </c>
      <c r="G345" s="14">
        <v>13514439.39229274</v>
      </c>
      <c r="H345" s="17">
        <f>G345/G344-1</f>
        <v>0</v>
      </c>
      <c r="I345" s="14">
        <f>MAX(I344,B345)</f>
        <v>0</v>
      </c>
      <c r="J345" s="17">
        <f>B345/I345-1</f>
        <v>0</v>
      </c>
    </row>
    <row r="346" spans="1:10">
      <c r="A346" s="6">
        <v>44700</v>
      </c>
      <c r="B346" s="14">
        <v>14731068.13803528</v>
      </c>
      <c r="D346" s="17">
        <f>B346/B345-1</f>
        <v>0</v>
      </c>
      <c r="E346" s="14">
        <v>11778628.65613182</v>
      </c>
      <c r="F346" s="17">
        <f>E346/E345-1</f>
        <v>0</v>
      </c>
      <c r="G346" s="14">
        <v>13184996.67505506</v>
      </c>
      <c r="H346" s="17">
        <f>G346/G345-1</f>
        <v>0</v>
      </c>
      <c r="I346" s="14">
        <f>MAX(I345,B346)</f>
        <v>0</v>
      </c>
      <c r="J346" s="17">
        <f>B346/I346-1</f>
        <v>0</v>
      </c>
    </row>
    <row r="347" spans="1:10">
      <c r="A347" s="6">
        <v>44701</v>
      </c>
      <c r="B347" s="14">
        <v>14941601.47990217</v>
      </c>
      <c r="D347" s="17">
        <f>B347/B346-1</f>
        <v>0</v>
      </c>
      <c r="E347" s="14">
        <v>12078328.93864686</v>
      </c>
      <c r="F347" s="17">
        <f>E347/E346-1</f>
        <v>0</v>
      </c>
      <c r="G347" s="14">
        <v>13478198.130846</v>
      </c>
      <c r="H347" s="17">
        <f>G347/G346-1</f>
        <v>0</v>
      </c>
      <c r="I347" s="14">
        <f>MAX(I346,B347)</f>
        <v>0</v>
      </c>
      <c r="J347" s="17">
        <f>B347/I347-1</f>
        <v>0</v>
      </c>
    </row>
    <row r="348" spans="1:10">
      <c r="A348" s="6">
        <v>44704</v>
      </c>
      <c r="B348" s="14">
        <v>14908859.85215302</v>
      </c>
      <c r="D348" s="17">
        <f>B348/B347-1</f>
        <v>0</v>
      </c>
      <c r="E348" s="14">
        <v>12027400.79205737</v>
      </c>
      <c r="F348" s="17">
        <f>E348/E347-1</f>
        <v>0</v>
      </c>
      <c r="G348" s="14">
        <v>13407878.46004513</v>
      </c>
      <c r="H348" s="17">
        <f>G348/G347-1</f>
        <v>0</v>
      </c>
      <c r="I348" s="14">
        <f>MAX(I347,B348)</f>
        <v>0</v>
      </c>
      <c r="J348" s="17">
        <f>B348/I348-1</f>
        <v>0</v>
      </c>
    </row>
    <row r="349" spans="1:10">
      <c r="A349" s="6">
        <v>44705</v>
      </c>
      <c r="B349" s="14">
        <v>14947089.23063083</v>
      </c>
      <c r="D349" s="17">
        <f>B349/B348-1</f>
        <v>0</v>
      </c>
      <c r="E349" s="14">
        <v>11950997.56407676</v>
      </c>
      <c r="F349" s="17">
        <f>E349/E348-1</f>
        <v>0</v>
      </c>
      <c r="G349" s="14">
        <v>13275355.81051228</v>
      </c>
      <c r="H349" s="17">
        <f>G349/G348-1</f>
        <v>0</v>
      </c>
      <c r="I349" s="14">
        <f>MAX(I348,B349)</f>
        <v>0</v>
      </c>
      <c r="J349" s="17">
        <f>B349/I349-1</f>
        <v>0</v>
      </c>
    </row>
    <row r="350" spans="1:10">
      <c r="A350" s="6">
        <v>44706</v>
      </c>
      <c r="B350" s="14">
        <v>14668908.37365522</v>
      </c>
      <c r="D350" s="17">
        <f>B350/B349-1</f>
        <v>0</v>
      </c>
      <c r="E350" s="14">
        <v>11812907.35559484</v>
      </c>
      <c r="F350" s="17">
        <f>E350/E349-1</f>
        <v>0</v>
      </c>
      <c r="G350" s="14">
        <v>12994484.32841978</v>
      </c>
      <c r="H350" s="17">
        <f>G350/G349-1</f>
        <v>0</v>
      </c>
      <c r="I350" s="14">
        <f>MAX(I349,B350)</f>
        <v>0</v>
      </c>
      <c r="J350" s="17">
        <f>B350/I350-1</f>
        <v>0</v>
      </c>
    </row>
    <row r="351" spans="1:10">
      <c r="A351" s="6">
        <v>44707</v>
      </c>
      <c r="B351" s="14">
        <v>14747053.45106267</v>
      </c>
      <c r="D351" s="17">
        <f>B351/B350-1</f>
        <v>0</v>
      </c>
      <c r="E351" s="14">
        <v>11930662.02264968</v>
      </c>
      <c r="F351" s="17">
        <f>E351/E350-1</f>
        <v>0</v>
      </c>
      <c r="G351" s="14">
        <v>13156924.98193302</v>
      </c>
      <c r="H351" s="17">
        <f>G351/G350-1</f>
        <v>0</v>
      </c>
      <c r="I351" s="14">
        <f>MAX(I350,B351)</f>
        <v>0</v>
      </c>
      <c r="J351" s="17">
        <f>B351/I351-1</f>
        <v>0</v>
      </c>
    </row>
    <row r="352" spans="1:10">
      <c r="A352" s="6">
        <v>44708</v>
      </c>
      <c r="B352" s="14">
        <v>14971772.42153625</v>
      </c>
      <c r="D352" s="17">
        <f>B352/B351-1</f>
        <v>0</v>
      </c>
      <c r="E352" s="14">
        <v>12062165.34125431</v>
      </c>
      <c r="F352" s="17">
        <f>E352/E351-1</f>
        <v>0</v>
      </c>
      <c r="G352" s="14">
        <v>13312335.66952989</v>
      </c>
      <c r="H352" s="17">
        <f>G352/G351-1</f>
        <v>0</v>
      </c>
      <c r="I352" s="14">
        <f>MAX(I351,B352)</f>
        <v>0</v>
      </c>
      <c r="J352" s="17">
        <f>B352/I352-1</f>
        <v>0</v>
      </c>
    </row>
    <row r="353" spans="1:10">
      <c r="A353" s="6">
        <v>44711</v>
      </c>
      <c r="B353" s="14">
        <v>15250184.80436977</v>
      </c>
      <c r="D353" s="17">
        <f>B353/B352-1</f>
        <v>0</v>
      </c>
      <c r="E353" s="14">
        <v>12307622.9545123</v>
      </c>
      <c r="F353" s="17">
        <f>E353/E352-1</f>
        <v>0</v>
      </c>
      <c r="G353" s="14">
        <v>13611491.59096952</v>
      </c>
      <c r="H353" s="17">
        <f>G353/G352-1</f>
        <v>0</v>
      </c>
      <c r="I353" s="14">
        <f>MAX(I352,B353)</f>
        <v>0</v>
      </c>
      <c r="J353" s="17">
        <f>B353/I353-1</f>
        <v>0</v>
      </c>
    </row>
    <row r="354" spans="1:10">
      <c r="A354" s="6">
        <v>44712</v>
      </c>
      <c r="B354" s="14">
        <v>15315632.50484375</v>
      </c>
      <c r="D354" s="17">
        <f>B354/B353-1</f>
        <v>0</v>
      </c>
      <c r="E354" s="14">
        <v>12277602.40098444</v>
      </c>
      <c r="F354" s="17">
        <f>E354/E353-1</f>
        <v>0</v>
      </c>
      <c r="G354" s="14">
        <v>13671239.3249906</v>
      </c>
      <c r="H354" s="17">
        <f>G354/G353-1</f>
        <v>0</v>
      </c>
      <c r="I354" s="14">
        <f>MAX(I353,B354)</f>
        <v>0</v>
      </c>
      <c r="J354" s="17">
        <f>B354/I354-1</f>
        <v>0</v>
      </c>
    </row>
    <row r="355" spans="1:10">
      <c r="A355" s="6">
        <v>44713</v>
      </c>
      <c r="B355" s="14">
        <v>15209573.15634939</v>
      </c>
      <c r="D355" s="17">
        <f>B355/B354-1</f>
        <v>0</v>
      </c>
      <c r="E355" s="14">
        <v>12246275.4911167</v>
      </c>
      <c r="F355" s="17">
        <f>E355/E354-1</f>
        <v>0</v>
      </c>
      <c r="G355" s="14">
        <v>13690703.17643717</v>
      </c>
      <c r="H355" s="17">
        <f>G355/G354-1</f>
        <v>0</v>
      </c>
      <c r="I355" s="14">
        <f>MAX(I354,B355)</f>
        <v>0</v>
      </c>
      <c r="J355" s="17">
        <f>B355/I355-1</f>
        <v>0</v>
      </c>
    </row>
    <row r="356" spans="1:10">
      <c r="A356" s="6">
        <v>44714</v>
      </c>
      <c r="B356" s="14">
        <v>15192216.68019155</v>
      </c>
      <c r="D356" s="17">
        <f>B356/B355-1</f>
        <v>0</v>
      </c>
      <c r="E356" s="14">
        <v>12320816.66069613</v>
      </c>
      <c r="F356" s="17">
        <f>E356/E355-1</f>
        <v>0</v>
      </c>
      <c r="G356" s="14">
        <v>13758518.51381578</v>
      </c>
      <c r="H356" s="17">
        <f>G356/G355-1</f>
        <v>0</v>
      </c>
      <c r="I356" s="14">
        <f>MAX(I355,B356)</f>
        <v>0</v>
      </c>
      <c r="J356" s="17">
        <f>B356/I356-1</f>
        <v>0</v>
      </c>
    </row>
    <row r="357" spans="1:10">
      <c r="A357" s="6">
        <v>44715</v>
      </c>
      <c r="B357" s="14">
        <v>15033590.41305384</v>
      </c>
      <c r="D357" s="17">
        <f>B357/B356-1</f>
        <v>0</v>
      </c>
      <c r="E357" s="14">
        <v>12243093.72240093</v>
      </c>
      <c r="F357" s="17">
        <f>E357/E356-1</f>
        <v>0</v>
      </c>
      <c r="G357" s="14">
        <v>13590759.82607625</v>
      </c>
      <c r="H357" s="17">
        <f>G357/G356-1</f>
        <v>0</v>
      </c>
      <c r="I357" s="14">
        <f>MAX(I356,B357)</f>
        <v>0</v>
      </c>
      <c r="J357" s="17">
        <f>B357/I357-1</f>
        <v>0</v>
      </c>
    </row>
    <row r="358" spans="1:10">
      <c r="A358" s="6">
        <v>44718</v>
      </c>
      <c r="B358" s="14">
        <v>15024836.24634817</v>
      </c>
      <c r="D358" s="17">
        <f>B358/B357-1</f>
        <v>0</v>
      </c>
      <c r="E358" s="14">
        <v>12222977.95876463</v>
      </c>
      <c r="F358" s="17">
        <f>E358/E357-1</f>
        <v>0</v>
      </c>
      <c r="G358" s="14">
        <v>13548385.93743135</v>
      </c>
      <c r="H358" s="17">
        <f>G358/G357-1</f>
        <v>0</v>
      </c>
      <c r="I358" s="14">
        <f>MAX(I357,B358)</f>
        <v>0</v>
      </c>
      <c r="J358" s="17">
        <f>B358/I358-1</f>
        <v>0</v>
      </c>
    </row>
    <row r="359" spans="1:10">
      <c r="A359" s="6">
        <v>44719</v>
      </c>
      <c r="B359" s="14">
        <v>14781686.32549283</v>
      </c>
      <c r="D359" s="17">
        <f>B359/B358-1</f>
        <v>0</v>
      </c>
      <c r="E359" s="14">
        <v>12120499.48005168</v>
      </c>
      <c r="F359" s="17">
        <f>E359/E358-1</f>
        <v>0</v>
      </c>
      <c r="G359" s="14">
        <v>13466379.50202133</v>
      </c>
      <c r="H359" s="17">
        <f>G359/G358-1</f>
        <v>0</v>
      </c>
      <c r="I359" s="14">
        <f>MAX(I358,B359)</f>
        <v>0</v>
      </c>
      <c r="J359" s="17">
        <f>B359/I359-1</f>
        <v>0</v>
      </c>
    </row>
    <row r="360" spans="1:10">
      <c r="A360" s="6">
        <v>44720</v>
      </c>
      <c r="B360" s="14">
        <v>14743716.58254044</v>
      </c>
      <c r="D360" s="17">
        <f>B360/B359-1</f>
        <v>0</v>
      </c>
      <c r="E360" s="14">
        <v>12078720.46022988</v>
      </c>
      <c r="F360" s="17">
        <f>E360/E359-1</f>
        <v>0</v>
      </c>
      <c r="G360" s="14">
        <v>13449335.73979092</v>
      </c>
      <c r="H360" s="17">
        <f>G360/G359-1</f>
        <v>0</v>
      </c>
      <c r="I360" s="14">
        <f>MAX(I359,B360)</f>
        <v>0</v>
      </c>
      <c r="J360" s="17">
        <f>B360/I360-1</f>
        <v>0</v>
      </c>
    </row>
    <row r="361" spans="1:10">
      <c r="A361" s="6">
        <v>44721</v>
      </c>
      <c r="B361" s="14">
        <v>14840835.93644293</v>
      </c>
      <c r="D361" s="17">
        <f>B361/B360-1</f>
        <v>0</v>
      </c>
      <c r="E361" s="14">
        <v>12157750.23261504</v>
      </c>
      <c r="F361" s="17">
        <f>E361/E360-1</f>
        <v>0</v>
      </c>
      <c r="G361" s="14">
        <v>13498583.30558271</v>
      </c>
      <c r="H361" s="17">
        <f>G361/G360-1</f>
        <v>0</v>
      </c>
      <c r="I361" s="14">
        <f>MAX(I360,B361)</f>
        <v>0</v>
      </c>
      <c r="J361" s="17">
        <f>B361/I361-1</f>
        <v>0</v>
      </c>
    </row>
    <row r="362" spans="1:10">
      <c r="A362" s="6">
        <v>44722</v>
      </c>
      <c r="B362" s="14">
        <v>14748852.63869892</v>
      </c>
      <c r="D362" s="17">
        <f>B362/B361-1</f>
        <v>0</v>
      </c>
      <c r="E362" s="14">
        <v>11988407.52804033</v>
      </c>
      <c r="F362" s="17">
        <f>E362/E361-1</f>
        <v>0</v>
      </c>
      <c r="G362" s="14">
        <v>13399811.23543454</v>
      </c>
      <c r="H362" s="17">
        <f>G362/G361-1</f>
        <v>0</v>
      </c>
      <c r="I362" s="14">
        <f>MAX(I361,B362)</f>
        <v>0</v>
      </c>
      <c r="J362" s="17">
        <f>B362/I362-1</f>
        <v>0</v>
      </c>
    </row>
    <row r="363" spans="1:10">
      <c r="A363" s="6">
        <v>44725</v>
      </c>
      <c r="B363" s="14">
        <v>14479081.97871987</v>
      </c>
      <c r="D363" s="17">
        <f>B363/B362-1</f>
        <v>0</v>
      </c>
      <c r="E363" s="14">
        <v>11671604.64555042</v>
      </c>
      <c r="F363" s="17">
        <f>E363/E362-1</f>
        <v>0</v>
      </c>
      <c r="G363" s="14">
        <v>13020562.78923346</v>
      </c>
      <c r="H363" s="17">
        <f>G363/G362-1</f>
        <v>0</v>
      </c>
      <c r="I363" s="14">
        <f>MAX(I362,B363)</f>
        <v>0</v>
      </c>
      <c r="J363" s="17">
        <f>B363/I363-1</f>
        <v>0</v>
      </c>
    </row>
    <row r="364" spans="1:10">
      <c r="A364" s="6">
        <v>44726</v>
      </c>
      <c r="B364" s="14">
        <v>14483985.42827172</v>
      </c>
      <c r="D364" s="17">
        <f>B364/B363-1</f>
        <v>0</v>
      </c>
      <c r="E364" s="14">
        <v>11647280.26855076</v>
      </c>
      <c r="F364" s="17">
        <f>E364/E363-1</f>
        <v>0</v>
      </c>
      <c r="G364" s="14">
        <v>12988230.07046236</v>
      </c>
      <c r="H364" s="17">
        <f>G364/G363-1</f>
        <v>0</v>
      </c>
      <c r="I364" s="14">
        <f>MAX(I363,B364)</f>
        <v>0</v>
      </c>
      <c r="J364" s="17">
        <f>B364/I364-1</f>
        <v>0</v>
      </c>
    </row>
    <row r="365" spans="1:10">
      <c r="A365" s="6">
        <v>44727</v>
      </c>
      <c r="B365" s="14">
        <v>14532709.74134674</v>
      </c>
      <c r="D365" s="17">
        <f>B365/B364-1</f>
        <v>0</v>
      </c>
      <c r="E365" s="14">
        <v>11641353.53182923</v>
      </c>
      <c r="F365" s="17">
        <f>E365/E364-1</f>
        <v>0</v>
      </c>
      <c r="G365" s="14">
        <v>13039101.30969444</v>
      </c>
      <c r="H365" s="17">
        <f>G365/G364-1</f>
        <v>0</v>
      </c>
      <c r="I365" s="14">
        <f>MAX(I364,B365)</f>
        <v>0</v>
      </c>
      <c r="J365" s="17">
        <f>B365/I365-1</f>
        <v>0</v>
      </c>
    </row>
    <row r="366" spans="1:10">
      <c r="A366" s="6">
        <v>44728</v>
      </c>
      <c r="B366" s="14">
        <v>14197212.22920296</v>
      </c>
      <c r="D366" s="17">
        <f>B366/B365-1</f>
        <v>0</v>
      </c>
      <c r="E366" s="14">
        <v>11388172.5785176</v>
      </c>
      <c r="F366" s="17">
        <f>E366/E365-1</f>
        <v>0</v>
      </c>
      <c r="G366" s="14">
        <v>12702143.06862853</v>
      </c>
      <c r="H366" s="17">
        <f>G366/G365-1</f>
        <v>0</v>
      </c>
      <c r="I366" s="14">
        <f>MAX(I365,B366)</f>
        <v>0</v>
      </c>
      <c r="J366" s="17">
        <f>B366/I366-1</f>
        <v>0</v>
      </c>
    </row>
    <row r="367" spans="1:10">
      <c r="A367" s="6">
        <v>44729</v>
      </c>
      <c r="B367" s="14">
        <v>13780147.23991452</v>
      </c>
      <c r="D367" s="17">
        <f>B367/B366-1</f>
        <v>0</v>
      </c>
      <c r="E367" s="14">
        <v>11306539.10095559</v>
      </c>
      <c r="F367" s="17">
        <f>E367/E366-1</f>
        <v>0</v>
      </c>
      <c r="G367" s="14">
        <v>12556631.86581019</v>
      </c>
      <c r="H367" s="17">
        <f>G367/G366-1</f>
        <v>0</v>
      </c>
      <c r="I367" s="14">
        <f>MAX(I366,B367)</f>
        <v>0</v>
      </c>
      <c r="J367" s="17">
        <f>B367/I367-1</f>
        <v>0</v>
      </c>
    </row>
    <row r="368" spans="1:10">
      <c r="A368" s="6">
        <v>44732</v>
      </c>
      <c r="B368" s="14">
        <v>13661757.14744247</v>
      </c>
      <c r="D368" s="17">
        <f>B368/B367-1</f>
        <v>0</v>
      </c>
      <c r="E368" s="14">
        <v>11268793.76064764</v>
      </c>
      <c r="F368" s="17">
        <f>E368/E367-1</f>
        <v>0</v>
      </c>
      <c r="G368" s="14">
        <v>12337473.8726461</v>
      </c>
      <c r="H368" s="17">
        <f>G368/G367-1</f>
        <v>0</v>
      </c>
      <c r="I368" s="14">
        <f>MAX(I367,B368)</f>
        <v>0</v>
      </c>
      <c r="J368" s="17">
        <f>B368/I368-1</f>
        <v>0</v>
      </c>
    </row>
    <row r="369" spans="1:10">
      <c r="A369" s="6">
        <v>44733</v>
      </c>
      <c r="B369" s="14">
        <v>13891152.26013533</v>
      </c>
      <c r="D369" s="17">
        <f>B369/B368-1</f>
        <v>0</v>
      </c>
      <c r="E369" s="14">
        <v>11522668.10747912</v>
      </c>
      <c r="F369" s="17">
        <f>E369/E368-1</f>
        <v>0</v>
      </c>
      <c r="G369" s="14">
        <v>12696952.73678851</v>
      </c>
      <c r="H369" s="17">
        <f>G369/G368-1</f>
        <v>0</v>
      </c>
      <c r="I369" s="14">
        <f>MAX(I368,B369)</f>
        <v>0</v>
      </c>
      <c r="J369" s="17">
        <f>B369/I369-1</f>
        <v>0</v>
      </c>
    </row>
    <row r="370" spans="1:10">
      <c r="A370" s="6">
        <v>44734</v>
      </c>
      <c r="B370" s="14">
        <v>13757483.73982775</v>
      </c>
      <c r="D370" s="17">
        <f>B370/B369-1</f>
        <v>0</v>
      </c>
      <c r="E370" s="14">
        <v>11354273.49358715</v>
      </c>
      <c r="F370" s="17">
        <f>E370/E369-1</f>
        <v>0</v>
      </c>
      <c r="G370" s="14">
        <v>12544110.36835418</v>
      </c>
      <c r="H370" s="17">
        <f>G370/G369-1</f>
        <v>0</v>
      </c>
      <c r="I370" s="14">
        <f>MAX(I369,B370)</f>
        <v>0</v>
      </c>
      <c r="J370" s="17">
        <f>B370/I370-1</f>
        <v>0</v>
      </c>
    </row>
    <row r="371" spans="1:10">
      <c r="A371" s="6">
        <v>44735</v>
      </c>
      <c r="B371" s="14">
        <v>13867280.47805751</v>
      </c>
      <c r="D371" s="17">
        <f>B371/B370-1</f>
        <v>0</v>
      </c>
      <c r="E371" s="14">
        <v>11468854.93307905</v>
      </c>
      <c r="F371" s="17">
        <f>E371/E370-1</f>
        <v>0</v>
      </c>
      <c r="G371" s="14">
        <v>12701399.43075419</v>
      </c>
      <c r="H371" s="17">
        <f>G371/G370-1</f>
        <v>0</v>
      </c>
      <c r="I371" s="14">
        <f>MAX(I370,B371)</f>
        <v>0</v>
      </c>
      <c r="J371" s="17">
        <f>B371/I371-1</f>
        <v>0</v>
      </c>
    </row>
    <row r="372" spans="1:10">
      <c r="A372" s="6">
        <v>44736</v>
      </c>
      <c r="B372" s="14">
        <v>14039821.27762243</v>
      </c>
      <c r="D372" s="17">
        <f>B372/B371-1</f>
        <v>0</v>
      </c>
      <c r="E372" s="14">
        <v>11594456.21200932</v>
      </c>
      <c r="F372" s="17">
        <f>E372/E371-1</f>
        <v>0</v>
      </c>
      <c r="G372" s="14">
        <v>12864713.22922149</v>
      </c>
      <c r="H372" s="17">
        <f>G372/G371-1</f>
        <v>0</v>
      </c>
      <c r="I372" s="14">
        <f>MAX(I371,B372)</f>
        <v>0</v>
      </c>
      <c r="J372" s="17">
        <f>B372/I372-1</f>
        <v>0</v>
      </c>
    </row>
    <row r="373" spans="1:10">
      <c r="A373" s="6">
        <v>44739</v>
      </c>
      <c r="B373" s="14">
        <v>14276126.45418819</v>
      </c>
      <c r="D373" s="17">
        <f>B373/B372-1</f>
        <v>0</v>
      </c>
      <c r="E373" s="14">
        <v>11701227.21552714</v>
      </c>
      <c r="F373" s="17">
        <f>E373/E372-1</f>
        <v>0</v>
      </c>
      <c r="G373" s="14">
        <v>13014788.84134956</v>
      </c>
      <c r="H373" s="17">
        <f>G373/G372-1</f>
        <v>0</v>
      </c>
      <c r="I373" s="14">
        <f>MAX(I372,B373)</f>
        <v>0</v>
      </c>
      <c r="J373" s="17">
        <f>B373/I373-1</f>
        <v>0</v>
      </c>
    </row>
    <row r="374" spans="1:10">
      <c r="A374" s="6">
        <v>44740</v>
      </c>
      <c r="B374" s="14">
        <v>14148973.85617374</v>
      </c>
      <c r="D374" s="17">
        <f>B374/B373-1</f>
        <v>0</v>
      </c>
      <c r="E374" s="14">
        <v>11718930.13496843</v>
      </c>
      <c r="F374" s="17">
        <f>E374/E373-1</f>
        <v>0</v>
      </c>
      <c r="G374" s="14">
        <v>13036565.79552519</v>
      </c>
      <c r="H374" s="17">
        <f>G374/G373-1</f>
        <v>0</v>
      </c>
      <c r="I374" s="14">
        <f>MAX(I373,B374)</f>
        <v>0</v>
      </c>
      <c r="J374" s="17">
        <f>B374/I374-1</f>
        <v>0</v>
      </c>
    </row>
    <row r="375" spans="1:10">
      <c r="A375" s="6">
        <v>44741</v>
      </c>
      <c r="B375" s="14">
        <v>14128525.55843247</v>
      </c>
      <c r="D375" s="17">
        <f>B375/B374-1</f>
        <v>0</v>
      </c>
      <c r="E375" s="14">
        <v>11679102.49599046</v>
      </c>
      <c r="F375" s="17">
        <f>E375/E374-1</f>
        <v>0</v>
      </c>
      <c r="G375" s="14">
        <v>12979761.48716101</v>
      </c>
      <c r="H375" s="17">
        <f>G375/G374-1</f>
        <v>0</v>
      </c>
      <c r="I375" s="14">
        <f>MAX(I374,B375)</f>
        <v>0</v>
      </c>
      <c r="J375" s="17">
        <f>B375/I375-1</f>
        <v>0</v>
      </c>
    </row>
    <row r="376" spans="1:10">
      <c r="A376" s="6">
        <v>44742</v>
      </c>
      <c r="B376" s="14">
        <v>14127786.79937418</v>
      </c>
      <c r="D376" s="17">
        <f>B376/B375-1</f>
        <v>0</v>
      </c>
      <c r="E376" s="14">
        <v>11653285.22810247</v>
      </c>
      <c r="F376" s="17">
        <f>E376/E375-1</f>
        <v>0</v>
      </c>
      <c r="G376" s="14">
        <v>12910034.13577282</v>
      </c>
      <c r="H376" s="17">
        <f>G376/G375-1</f>
        <v>0</v>
      </c>
      <c r="I376" s="14">
        <f>MAX(I375,B376)</f>
        <v>0</v>
      </c>
      <c r="J376" s="17">
        <f>B376/I376-1</f>
        <v>0</v>
      </c>
    </row>
    <row r="377" spans="1:10">
      <c r="A377" s="6">
        <v>44743</v>
      </c>
      <c r="B377" s="14">
        <v>14013240.31428415</v>
      </c>
      <c r="D377" s="17">
        <f>B377/B376-1</f>
        <v>0</v>
      </c>
      <c r="E377" s="14">
        <v>11659846.6391441</v>
      </c>
      <c r="F377" s="17">
        <f>E377/E376-1</f>
        <v>0</v>
      </c>
      <c r="G377" s="14">
        <v>12961590.18798285</v>
      </c>
      <c r="H377" s="17">
        <f>G377/G376-1</f>
        <v>0</v>
      </c>
      <c r="I377" s="14">
        <f>MAX(I376,B377)</f>
        <v>0</v>
      </c>
      <c r="J377" s="17">
        <f>B377/I377-1</f>
        <v>0</v>
      </c>
    </row>
    <row r="378" spans="1:10">
      <c r="A378" s="6">
        <v>44746</v>
      </c>
      <c r="B378" s="14">
        <v>14190089.87525815</v>
      </c>
      <c r="D378" s="17">
        <f>B378/B377-1</f>
        <v>0</v>
      </c>
      <c r="E378" s="14">
        <v>11728475.01002053</v>
      </c>
      <c r="F378" s="17">
        <f>E378/E377-1</f>
        <v>0</v>
      </c>
      <c r="G378" s="14">
        <v>13048480.45785524</v>
      </c>
      <c r="H378" s="17">
        <f>G378/G377-1</f>
        <v>0</v>
      </c>
      <c r="I378" s="14">
        <f>MAX(I377,B378)</f>
        <v>0</v>
      </c>
      <c r="J378" s="17">
        <f>B378/I378-1</f>
        <v>0</v>
      </c>
    </row>
    <row r="379" spans="1:10">
      <c r="A379" s="6">
        <v>44747</v>
      </c>
      <c r="B379" s="14">
        <v>14274259.56148295</v>
      </c>
      <c r="D379" s="17">
        <f>B379/B378-1</f>
        <v>0</v>
      </c>
      <c r="E379" s="14">
        <v>11719631.00158018</v>
      </c>
      <c r="F379" s="17">
        <f>E379/E378-1</f>
        <v>0</v>
      </c>
      <c r="G379" s="14">
        <v>13055022.01495085</v>
      </c>
      <c r="H379" s="17">
        <f>G379/G378-1</f>
        <v>0</v>
      </c>
      <c r="I379" s="14">
        <f>MAX(I378,B379)</f>
        <v>0</v>
      </c>
      <c r="J379" s="17">
        <f>B379/I379-1</f>
        <v>0</v>
      </c>
    </row>
    <row r="380" spans="1:10">
      <c r="A380" s="6">
        <v>44748</v>
      </c>
      <c r="B380" s="14">
        <v>14494540.86372362</v>
      </c>
      <c r="D380" s="17">
        <f>B380/B379-1</f>
        <v>0</v>
      </c>
      <c r="E380" s="14">
        <v>11867709.2061116</v>
      </c>
      <c r="F380" s="17">
        <f>E380/E379-1</f>
        <v>0</v>
      </c>
      <c r="G380" s="14">
        <v>13217734.17228985</v>
      </c>
      <c r="H380" s="17">
        <f>G380/G379-1</f>
        <v>0</v>
      </c>
      <c r="I380" s="14">
        <f>MAX(I379,B380)</f>
        <v>0</v>
      </c>
      <c r="J380" s="17">
        <f>B380/I380-1</f>
        <v>0</v>
      </c>
    </row>
    <row r="381" spans="1:10">
      <c r="A381" s="6">
        <v>44749</v>
      </c>
      <c r="B381" s="14">
        <v>14602562.905307</v>
      </c>
      <c r="D381" s="17">
        <f>B381/B380-1</f>
        <v>0</v>
      </c>
      <c r="E381" s="14">
        <v>11985198.6967968</v>
      </c>
      <c r="F381" s="17">
        <f>E381/E380-1</f>
        <v>0</v>
      </c>
      <c r="G381" s="14">
        <v>13397767.52624952</v>
      </c>
      <c r="H381" s="17">
        <f>G381/G380-1</f>
        <v>0</v>
      </c>
      <c r="I381" s="14">
        <f>MAX(I380,B381)</f>
        <v>0</v>
      </c>
      <c r="J381" s="17">
        <f>B381/I381-1</f>
        <v>0</v>
      </c>
    </row>
    <row r="382" spans="1:10">
      <c r="A382" s="6">
        <v>44750</v>
      </c>
      <c r="B382" s="14">
        <v>14733665.52681155</v>
      </c>
      <c r="D382" s="17">
        <f>B382/B381-1</f>
        <v>0</v>
      </c>
      <c r="E382" s="14">
        <v>12040316.7996182</v>
      </c>
      <c r="F382" s="17">
        <f>E382/E381-1</f>
        <v>0</v>
      </c>
      <c r="G382" s="14">
        <v>13427958.93279099</v>
      </c>
      <c r="H382" s="17">
        <f>G382/G381-1</f>
        <v>0</v>
      </c>
      <c r="I382" s="14">
        <f>MAX(I381,B382)</f>
        <v>0</v>
      </c>
      <c r="J382" s="17">
        <f>B382/I382-1</f>
        <v>0</v>
      </c>
    </row>
    <row r="383" spans="1:10">
      <c r="A383" s="6">
        <v>44753</v>
      </c>
      <c r="B383" s="14">
        <v>14798276.68284895</v>
      </c>
      <c r="D383" s="17">
        <f>B383/B382-1</f>
        <v>0</v>
      </c>
      <c r="E383" s="14">
        <v>12091913.08016594</v>
      </c>
      <c r="F383" s="17">
        <f>E383/E382-1</f>
        <v>0</v>
      </c>
      <c r="G383" s="14">
        <v>13545334.29260823</v>
      </c>
      <c r="H383" s="17">
        <f>G383/G382-1</f>
        <v>0</v>
      </c>
      <c r="I383" s="14">
        <f>MAX(I382,B383)</f>
        <v>0</v>
      </c>
      <c r="J383" s="17">
        <f>B383/I383-1</f>
        <v>0</v>
      </c>
    </row>
    <row r="384" spans="1:10">
      <c r="A384" s="6">
        <v>44754</v>
      </c>
      <c r="B384" s="14">
        <v>14578030.13617561</v>
      </c>
      <c r="D384" s="17">
        <f>B384/B383-1</f>
        <v>0</v>
      </c>
      <c r="E384" s="14">
        <v>11998579.3136193</v>
      </c>
      <c r="F384" s="17">
        <f>E384/E383-1</f>
        <v>0</v>
      </c>
      <c r="G384" s="14">
        <v>13471896.36946737</v>
      </c>
      <c r="H384" s="17">
        <f>G384/G383-1</f>
        <v>0</v>
      </c>
      <c r="I384" s="14">
        <f>MAX(I383,B384)</f>
        <v>0</v>
      </c>
      <c r="J384" s="17">
        <f>B384/I384-1</f>
        <v>0</v>
      </c>
    </row>
    <row r="385" spans="1:10">
      <c r="A385" s="6">
        <v>44755</v>
      </c>
      <c r="B385" s="14">
        <v>14632496.55755331</v>
      </c>
      <c r="D385" s="17">
        <f>B385/B384-1</f>
        <v>0</v>
      </c>
      <c r="E385" s="14">
        <v>11953826.36146828</v>
      </c>
      <c r="F385" s="17">
        <f>E385/E384-1</f>
        <v>0</v>
      </c>
      <c r="G385" s="14">
        <v>13499294.97857819</v>
      </c>
      <c r="H385" s="17">
        <f>G385/G384-1</f>
        <v>0</v>
      </c>
      <c r="I385" s="14">
        <f>MAX(I384,B385)</f>
        <v>0</v>
      </c>
      <c r="J385" s="17">
        <f>B385/I385-1</f>
        <v>0</v>
      </c>
    </row>
    <row r="386" spans="1:10">
      <c r="A386" s="6">
        <v>44756</v>
      </c>
      <c r="B386" s="14">
        <v>14634296.99627969</v>
      </c>
      <c r="D386" s="17">
        <f>B386/B385-1</f>
        <v>0</v>
      </c>
      <c r="E386" s="14">
        <v>11933234.61659059</v>
      </c>
      <c r="F386" s="17">
        <f>E386/E385-1</f>
        <v>0</v>
      </c>
      <c r="G386" s="14">
        <v>13448471.61825201</v>
      </c>
      <c r="H386" s="17">
        <f>G386/G385-1</f>
        <v>0</v>
      </c>
      <c r="I386" s="14">
        <f>MAX(I385,B386)</f>
        <v>0</v>
      </c>
      <c r="J386" s="17">
        <f>B386/I386-1</f>
        <v>0</v>
      </c>
    </row>
    <row r="387" spans="1:10">
      <c r="A387" s="6">
        <v>44757</v>
      </c>
      <c r="B387" s="14">
        <v>14732190.70128464</v>
      </c>
      <c r="D387" s="17">
        <f>B387/B386-1</f>
        <v>0</v>
      </c>
      <c r="E387" s="14">
        <v>12010047.41199982</v>
      </c>
      <c r="F387" s="17">
        <f>E387/E386-1</f>
        <v>0</v>
      </c>
      <c r="G387" s="14">
        <v>13532230.98911484</v>
      </c>
      <c r="H387" s="17">
        <f>G387/G386-1</f>
        <v>0</v>
      </c>
      <c r="I387" s="14">
        <f>MAX(I386,B387)</f>
        <v>0</v>
      </c>
      <c r="J387" s="17">
        <f>B387/I387-1</f>
        <v>0</v>
      </c>
    </row>
    <row r="388" spans="1:10">
      <c r="A388" s="6">
        <v>44760</v>
      </c>
      <c r="B388" s="14">
        <v>14973213.69957943</v>
      </c>
      <c r="D388" s="17">
        <f>B388/B387-1</f>
        <v>0</v>
      </c>
      <c r="E388" s="14">
        <v>12179750.55135032</v>
      </c>
      <c r="F388" s="17">
        <f>E388/E387-1</f>
        <v>0</v>
      </c>
      <c r="G388" s="14">
        <v>13722156.88381324</v>
      </c>
      <c r="H388" s="17">
        <f>G388/G387-1</f>
        <v>0</v>
      </c>
      <c r="I388" s="14">
        <f>MAX(I387,B388)</f>
        <v>0</v>
      </c>
      <c r="J388" s="17">
        <f>B388/I388-1</f>
        <v>0</v>
      </c>
    </row>
    <row r="389" spans="1:10">
      <c r="A389" s="6">
        <v>44761</v>
      </c>
      <c r="B389" s="14">
        <v>15059533.53442078</v>
      </c>
      <c r="D389" s="17">
        <f>B389/B388-1</f>
        <v>0</v>
      </c>
      <c r="E389" s="14">
        <v>12238902.10505194</v>
      </c>
      <c r="F389" s="17">
        <f>E389/E388-1</f>
        <v>0</v>
      </c>
      <c r="G389" s="14">
        <v>13818341.00917267</v>
      </c>
      <c r="H389" s="17">
        <f>G389/G388-1</f>
        <v>0</v>
      </c>
      <c r="I389" s="14">
        <f>MAX(I388,B389)</f>
        <v>0</v>
      </c>
      <c r="J389" s="17">
        <f>B389/I389-1</f>
        <v>0</v>
      </c>
    </row>
    <row r="390" spans="1:10">
      <c r="A390" s="6">
        <v>44762</v>
      </c>
      <c r="B390" s="14">
        <v>15106079.82606655</v>
      </c>
      <c r="D390" s="17">
        <f>B390/B389-1</f>
        <v>0</v>
      </c>
      <c r="E390" s="14">
        <v>12337689.47478607</v>
      </c>
      <c r="F390" s="17">
        <f>E390/E389-1</f>
        <v>0</v>
      </c>
      <c r="G390" s="14">
        <v>13881105.33869539</v>
      </c>
      <c r="H390" s="17">
        <f>G390/G389-1</f>
        <v>0</v>
      </c>
      <c r="I390" s="14">
        <f>MAX(I389,B390)</f>
        <v>0</v>
      </c>
      <c r="J390" s="17">
        <f>B390/I390-1</f>
        <v>0</v>
      </c>
    </row>
    <row r="391" spans="1:10">
      <c r="A391" s="6">
        <v>44763</v>
      </c>
      <c r="B391" s="14">
        <v>15386005.03905796</v>
      </c>
      <c r="D391" s="17">
        <f>B391/B390-1</f>
        <v>0</v>
      </c>
      <c r="E391" s="14">
        <v>12431825.63987139</v>
      </c>
      <c r="F391" s="17">
        <f>E391/E390-1</f>
        <v>0</v>
      </c>
      <c r="G391" s="14">
        <v>14028437.14123141</v>
      </c>
      <c r="H391" s="17">
        <f>G391/G390-1</f>
        <v>0</v>
      </c>
      <c r="I391" s="14">
        <f>MAX(I390,B391)</f>
        <v>0</v>
      </c>
      <c r="J391" s="17">
        <f>B391/I391-1</f>
        <v>0</v>
      </c>
    </row>
    <row r="392" spans="1:10">
      <c r="A392" s="6">
        <v>44764</v>
      </c>
      <c r="B392" s="14">
        <v>15350132.26454751</v>
      </c>
      <c r="D392" s="17">
        <f>B392/B391-1</f>
        <v>0</v>
      </c>
      <c r="E392" s="14">
        <v>12488863.20146141</v>
      </c>
      <c r="F392" s="17">
        <f>E392/E391-1</f>
        <v>0</v>
      </c>
      <c r="G392" s="14">
        <v>14032740.18672774</v>
      </c>
      <c r="H392" s="17">
        <f>G392/G391-1</f>
        <v>0</v>
      </c>
      <c r="I392" s="14">
        <f>MAX(I391,B392)</f>
        <v>0</v>
      </c>
      <c r="J392" s="17">
        <f>B392/I392-1</f>
        <v>0</v>
      </c>
    </row>
    <row r="393" spans="1:10">
      <c r="A393" s="6">
        <v>44767</v>
      </c>
      <c r="B393" s="14">
        <v>15446161.35328569</v>
      </c>
      <c r="D393" s="17">
        <f>B393/B392-1</f>
        <v>0</v>
      </c>
      <c r="E393" s="14">
        <v>12439717.43870495</v>
      </c>
      <c r="F393" s="17">
        <f>E393/E392-1</f>
        <v>0</v>
      </c>
      <c r="G393" s="14">
        <v>14001456.05694653</v>
      </c>
      <c r="H393" s="17">
        <f>G393/G392-1</f>
        <v>0</v>
      </c>
      <c r="I393" s="14">
        <f>MAX(I392,B393)</f>
        <v>0</v>
      </c>
      <c r="J393" s="17">
        <f>B393/I393-1</f>
        <v>0</v>
      </c>
    </row>
    <row r="394" spans="1:10">
      <c r="A394" s="6">
        <v>44768</v>
      </c>
      <c r="B394" s="14">
        <v>15468392.55054403</v>
      </c>
      <c r="D394" s="17">
        <f>B394/B393-1</f>
        <v>0</v>
      </c>
      <c r="E394" s="14">
        <v>12320046.4522484</v>
      </c>
      <c r="F394" s="17">
        <f>E394/E393-1</f>
        <v>0</v>
      </c>
      <c r="G394" s="14">
        <v>13867164.2168507</v>
      </c>
      <c r="H394" s="17">
        <f>G394/G393-1</f>
        <v>0</v>
      </c>
      <c r="I394" s="14">
        <f>MAX(I393,B394)</f>
        <v>0</v>
      </c>
      <c r="J394" s="17">
        <f>B394/I394-1</f>
        <v>0</v>
      </c>
    </row>
    <row r="395" spans="1:10">
      <c r="A395" s="6">
        <v>44769</v>
      </c>
      <c r="B395" s="14">
        <v>15618229.29371959</v>
      </c>
      <c r="D395" s="17">
        <f>B395/B394-1</f>
        <v>0</v>
      </c>
      <c r="E395" s="14">
        <v>12426135.22962679</v>
      </c>
      <c r="F395" s="17">
        <f>E395/E394-1</f>
        <v>0</v>
      </c>
      <c r="G395" s="14">
        <v>13952901.17753777</v>
      </c>
      <c r="H395" s="17">
        <f>G395/G394-1</f>
        <v>0</v>
      </c>
      <c r="I395" s="14">
        <f>MAX(I394,B395)</f>
        <v>0</v>
      </c>
      <c r="J395" s="17">
        <f>B395/I395-1</f>
        <v>0</v>
      </c>
    </row>
    <row r="396" spans="1:10">
      <c r="A396" s="6">
        <v>44770</v>
      </c>
      <c r="B396" s="14">
        <v>15869959.23386398</v>
      </c>
      <c r="D396" s="17">
        <f>B396/B395-1</f>
        <v>0</v>
      </c>
      <c r="E396" s="14">
        <v>12606681.85602086</v>
      </c>
      <c r="F396" s="17">
        <f>E396/E395-1</f>
        <v>0</v>
      </c>
      <c r="G396" s="14">
        <v>14083250.52412743</v>
      </c>
      <c r="H396" s="17">
        <f>G396/G395-1</f>
        <v>0</v>
      </c>
      <c r="I396" s="14">
        <f>MAX(I395,B396)</f>
        <v>0</v>
      </c>
      <c r="J396" s="17">
        <f>B396/I396-1</f>
        <v>0</v>
      </c>
    </row>
    <row r="397" spans="1:10">
      <c r="A397" s="6">
        <v>44771</v>
      </c>
      <c r="B397" s="14">
        <v>16044553.82569834</v>
      </c>
      <c r="D397" s="17">
        <f>B397/B396-1</f>
        <v>0</v>
      </c>
      <c r="E397" s="14">
        <v>12778533.5467616</v>
      </c>
      <c r="F397" s="17">
        <f>E397/E396-1</f>
        <v>0</v>
      </c>
      <c r="G397" s="14">
        <v>14272227.67630115</v>
      </c>
      <c r="H397" s="17">
        <f>G397/G396-1</f>
        <v>0</v>
      </c>
      <c r="I397" s="14">
        <f>MAX(I396,B397)</f>
        <v>0</v>
      </c>
      <c r="J397" s="17">
        <f>B397/I397-1</f>
        <v>0</v>
      </c>
    </row>
    <row r="398" spans="1:10">
      <c r="A398" s="6">
        <v>44774</v>
      </c>
      <c r="B398" s="14">
        <v>16328770.86987651</v>
      </c>
      <c r="D398" s="17">
        <f>B398/B397-1</f>
        <v>0</v>
      </c>
      <c r="E398" s="14">
        <v>12937025.28120389</v>
      </c>
      <c r="F398" s="17">
        <f>E398/E397-1</f>
        <v>0</v>
      </c>
      <c r="G398" s="14">
        <v>14473592.94359481</v>
      </c>
      <c r="H398" s="17">
        <f>G398/G397-1</f>
        <v>0</v>
      </c>
      <c r="I398" s="14">
        <f>MAX(I397,B398)</f>
        <v>0</v>
      </c>
      <c r="J398" s="17">
        <f>B398/I398-1</f>
        <v>0</v>
      </c>
    </row>
    <row r="399" spans="1:10">
      <c r="A399" s="6">
        <v>44775</v>
      </c>
      <c r="B399" s="14">
        <v>16393219.64194064</v>
      </c>
      <c r="D399" s="17">
        <f>B399/B398-1</f>
        <v>0</v>
      </c>
      <c r="E399" s="14">
        <v>12963564.43912012</v>
      </c>
      <c r="F399" s="17">
        <f>E399/E398-1</f>
        <v>0</v>
      </c>
      <c r="G399" s="14">
        <v>14545526.22562759</v>
      </c>
      <c r="H399" s="17">
        <f>G399/G398-1</f>
        <v>0</v>
      </c>
      <c r="I399" s="14">
        <f>MAX(I398,B399)</f>
        <v>0</v>
      </c>
      <c r="J399" s="17">
        <f>B399/I399-1</f>
        <v>0</v>
      </c>
    </row>
    <row r="400" spans="1:10">
      <c r="A400" s="6">
        <v>44776</v>
      </c>
      <c r="B400" s="14">
        <v>16270943.39659268</v>
      </c>
      <c r="D400" s="17">
        <f>B400/B399-1</f>
        <v>0</v>
      </c>
      <c r="E400" s="14">
        <v>12965445.46122112</v>
      </c>
      <c r="F400" s="17">
        <f>E400/E399-1</f>
        <v>0</v>
      </c>
      <c r="G400" s="14">
        <v>14497843.92880752</v>
      </c>
      <c r="H400" s="17">
        <f>G400/G399-1</f>
        <v>0</v>
      </c>
      <c r="I400" s="14">
        <f>MAX(I399,B400)</f>
        <v>0</v>
      </c>
      <c r="J400" s="17">
        <f>B400/I400-1</f>
        <v>0</v>
      </c>
    </row>
    <row r="401" spans="1:10">
      <c r="A401" s="6">
        <v>44777</v>
      </c>
      <c r="B401" s="14">
        <v>16427927.14318516</v>
      </c>
      <c r="D401" s="17">
        <f>B401/B400-1</f>
        <v>0</v>
      </c>
      <c r="E401" s="14">
        <v>12978612.0537516</v>
      </c>
      <c r="F401" s="17">
        <f>E401/E400-1</f>
        <v>0</v>
      </c>
      <c r="G401" s="14">
        <v>14536255.55810954</v>
      </c>
      <c r="H401" s="17">
        <f>G401/G400-1</f>
        <v>0</v>
      </c>
      <c r="I401" s="14">
        <f>MAX(I400,B401)</f>
        <v>0</v>
      </c>
      <c r="J401" s="17">
        <f>B401/I401-1</f>
        <v>0</v>
      </c>
    </row>
    <row r="402" spans="1:10">
      <c r="A402" s="6">
        <v>44778</v>
      </c>
      <c r="B402" s="14">
        <v>16416145.12810371</v>
      </c>
      <c r="D402" s="17">
        <f>B402/B401-1</f>
        <v>0</v>
      </c>
      <c r="E402" s="14">
        <v>12986158.59360944</v>
      </c>
      <c r="F402" s="17">
        <f>E402/E401-1</f>
        <v>0</v>
      </c>
      <c r="G402" s="14">
        <v>14559321.67346928</v>
      </c>
      <c r="H402" s="17">
        <f>G402/G401-1</f>
        <v>0</v>
      </c>
      <c r="I402" s="14">
        <f>MAX(I401,B402)</f>
        <v>0</v>
      </c>
      <c r="J402" s="17">
        <f>B402/I402-1</f>
        <v>0</v>
      </c>
    </row>
    <row r="403" spans="1:10">
      <c r="A403" s="6">
        <v>44781</v>
      </c>
      <c r="B403" s="14">
        <v>16650598.9689459</v>
      </c>
      <c r="D403" s="17">
        <f>B403/B402-1</f>
        <v>0</v>
      </c>
      <c r="E403" s="14">
        <v>13067785.09358713</v>
      </c>
      <c r="F403" s="17">
        <f>E403/E402-1</f>
        <v>0</v>
      </c>
      <c r="G403" s="14">
        <v>14610700.81751216</v>
      </c>
      <c r="H403" s="17">
        <f>G403/G402-1</f>
        <v>0</v>
      </c>
      <c r="I403" s="14">
        <f>MAX(I402,B403)</f>
        <v>0</v>
      </c>
      <c r="J403" s="17">
        <f>B403/I403-1</f>
        <v>0</v>
      </c>
    </row>
    <row r="404" spans="1:10">
      <c r="A404" s="6">
        <v>44783</v>
      </c>
      <c r="B404" s="14">
        <v>16983654.34900112</v>
      </c>
      <c r="D404" s="17">
        <f>B404/B403-1</f>
        <v>0</v>
      </c>
      <c r="E404" s="14">
        <v>13061827.16999785</v>
      </c>
      <c r="F404" s="17">
        <f>E404/E403-1</f>
        <v>0</v>
      </c>
      <c r="G404" s="14">
        <v>14580114.9921524</v>
      </c>
      <c r="H404" s="17">
        <f>G404/G403-1</f>
        <v>0</v>
      </c>
      <c r="I404" s="14">
        <f>MAX(I403,B404)</f>
        <v>0</v>
      </c>
      <c r="J404" s="17">
        <f>B404/I404-1</f>
        <v>0</v>
      </c>
    </row>
    <row r="405" spans="1:10">
      <c r="A405" s="6">
        <v>44784</v>
      </c>
      <c r="B405" s="14">
        <v>17086020.20126245</v>
      </c>
      <c r="D405" s="17">
        <f>B405/B404-1</f>
        <v>0</v>
      </c>
      <c r="E405" s="14">
        <v>13157760.62148766</v>
      </c>
      <c r="F405" s="17">
        <f>E405/E404-1</f>
        <v>0</v>
      </c>
      <c r="G405" s="14">
        <v>14679399.51391686</v>
      </c>
      <c r="H405" s="17">
        <f>G405/G404-1</f>
        <v>0</v>
      </c>
      <c r="I405" s="14">
        <f>MAX(I404,B405)</f>
        <v>0</v>
      </c>
      <c r="J405" s="17">
        <f>B405/I405-1</f>
        <v>0</v>
      </c>
    </row>
    <row r="406" spans="1:10">
      <c r="A406" s="6">
        <v>44785</v>
      </c>
      <c r="B406" s="14">
        <v>17144562.22412376</v>
      </c>
      <c r="D406" s="17">
        <f>B406/B405-1</f>
        <v>0</v>
      </c>
      <c r="E406" s="14">
        <v>13197959.79968482</v>
      </c>
      <c r="F406" s="17">
        <f>E406/E405-1</f>
        <v>0</v>
      </c>
      <c r="G406" s="14">
        <v>14718270.30715681</v>
      </c>
      <c r="H406" s="17">
        <f>G406/G405-1</f>
        <v>0</v>
      </c>
      <c r="I406" s="14">
        <f>MAX(I405,B406)</f>
        <v>0</v>
      </c>
      <c r="J406" s="17">
        <f>B406/I406-1</f>
        <v>0</v>
      </c>
    </row>
    <row r="407" spans="1:10">
      <c r="A407" s="6">
        <v>44789</v>
      </c>
      <c r="B407" s="14">
        <v>17244504.59553471</v>
      </c>
      <c r="D407" s="17">
        <f>B407/B406-1</f>
        <v>0</v>
      </c>
      <c r="E407" s="14">
        <v>13320582.32804221</v>
      </c>
      <c r="F407" s="17">
        <f>E407/E406-1</f>
        <v>0</v>
      </c>
      <c r="G407" s="14">
        <v>14898224.76539665</v>
      </c>
      <c r="H407" s="17">
        <f>G407/G406-1</f>
        <v>0</v>
      </c>
      <c r="I407" s="14">
        <f>MAX(I406,B407)</f>
        <v>0</v>
      </c>
      <c r="J407" s="17">
        <f>B407/I407-1</f>
        <v>0</v>
      </c>
    </row>
    <row r="408" spans="1:10">
      <c r="A408" s="6">
        <v>44790</v>
      </c>
      <c r="B408" s="14">
        <v>17179572.25721299</v>
      </c>
      <c r="D408" s="17">
        <f>B408/B407-1</f>
        <v>0</v>
      </c>
      <c r="E408" s="14">
        <v>13407126.18546417</v>
      </c>
      <c r="F408" s="17">
        <f>E408/E407-1</f>
        <v>0</v>
      </c>
      <c r="G408" s="14">
        <v>14985947.98469556</v>
      </c>
      <c r="H408" s="17">
        <f>G408/G407-1</f>
        <v>0</v>
      </c>
      <c r="I408" s="14">
        <f>MAX(I407,B408)</f>
        <v>0</v>
      </c>
      <c r="J408" s="17">
        <f>B408/I408-1</f>
        <v>0</v>
      </c>
    </row>
    <row r="409" spans="1:10">
      <c r="A409" s="6">
        <v>44791</v>
      </c>
      <c r="B409" s="14">
        <v>17301253.06112845</v>
      </c>
      <c r="D409" s="17">
        <f>B409/B408-1</f>
        <v>0</v>
      </c>
      <c r="E409" s="14">
        <v>13430038.39246924</v>
      </c>
      <c r="F409" s="17">
        <f>E409/E408-1</f>
        <v>0</v>
      </c>
      <c r="G409" s="14">
        <v>15031620.72289077</v>
      </c>
      <c r="H409" s="17">
        <f>G409/G408-1</f>
        <v>0</v>
      </c>
      <c r="I409" s="14">
        <f>MAX(I408,B409)</f>
        <v>0</v>
      </c>
      <c r="J409" s="17">
        <f>B409/I409-1</f>
        <v>0</v>
      </c>
    </row>
    <row r="410" spans="1:10">
      <c r="A410" s="6">
        <v>44792</v>
      </c>
      <c r="B410" s="14">
        <v>17030636.76284036</v>
      </c>
      <c r="D410" s="17">
        <f>B410/B409-1</f>
        <v>0</v>
      </c>
      <c r="E410" s="14">
        <v>13284256.42628027</v>
      </c>
      <c r="F410" s="17">
        <f>E410/E409-1</f>
        <v>0</v>
      </c>
      <c r="G410" s="14">
        <v>14873356.729505</v>
      </c>
      <c r="H410" s="17">
        <f>G410/G409-1</f>
        <v>0</v>
      </c>
      <c r="I410" s="14">
        <f>MAX(I409,B410)</f>
        <v>0</v>
      </c>
      <c r="J410" s="17">
        <f>B410/I410-1</f>
        <v>0</v>
      </c>
    </row>
    <row r="411" spans="1:10">
      <c r="A411" s="6">
        <v>44795</v>
      </c>
      <c r="B411" s="14">
        <v>16897410.43212446</v>
      </c>
      <c r="D411" s="17">
        <f>B411/B410-1</f>
        <v>0</v>
      </c>
      <c r="E411" s="14">
        <v>13080088.28642097</v>
      </c>
      <c r="F411" s="17">
        <f>E411/E410-1</f>
        <v>0</v>
      </c>
      <c r="G411" s="14">
        <v>14642628.4391786</v>
      </c>
      <c r="H411" s="17">
        <f>G411/G410-1</f>
        <v>0</v>
      </c>
      <c r="I411" s="14">
        <f>MAX(I410,B411)</f>
        <v>0</v>
      </c>
      <c r="J411" s="17">
        <f>B411/I411-1</f>
        <v>0</v>
      </c>
    </row>
    <row r="412" spans="1:10">
      <c r="A412" s="6">
        <v>44796</v>
      </c>
      <c r="B412" s="14">
        <v>17184606.86865843</v>
      </c>
      <c r="D412" s="17">
        <f>B412/B411-1</f>
        <v>0</v>
      </c>
      <c r="E412" s="14">
        <v>13158092.64228824</v>
      </c>
      <c r="F412" s="17">
        <f>E412/E411-1</f>
        <v>0</v>
      </c>
      <c r="G412" s="14">
        <v>14753172.32645154</v>
      </c>
      <c r="H412" s="17">
        <f>G412/G411-1</f>
        <v>0</v>
      </c>
      <c r="I412" s="14">
        <f>MAX(I411,B412)</f>
        <v>0</v>
      </c>
      <c r="J412" s="17">
        <f>B412/I412-1</f>
        <v>0</v>
      </c>
    </row>
    <row r="413" spans="1:10">
      <c r="A413" s="6">
        <v>44797</v>
      </c>
      <c r="B413" s="14">
        <v>17336214.06872821</v>
      </c>
      <c r="D413" s="17">
        <f>B413/B412-1</f>
        <v>0</v>
      </c>
      <c r="E413" s="14">
        <v>13202229.6361218</v>
      </c>
      <c r="F413" s="17">
        <f>E413/E412-1</f>
        <v>0</v>
      </c>
      <c r="G413" s="14">
        <v>14845162.8356383</v>
      </c>
      <c r="H413" s="17">
        <f>G413/G412-1</f>
        <v>0</v>
      </c>
      <c r="I413" s="14">
        <f>MAX(I412,B413)</f>
        <v>0</v>
      </c>
      <c r="J413" s="17">
        <f>B413/I413-1</f>
        <v>0</v>
      </c>
    </row>
    <row r="414" spans="1:10">
      <c r="A414" s="6">
        <v>44798</v>
      </c>
      <c r="B414" s="14">
        <v>17350006.28315194</v>
      </c>
      <c r="D414" s="17">
        <f>B414/B413-1</f>
        <v>0</v>
      </c>
      <c r="E414" s="14">
        <v>13168196.83750782</v>
      </c>
      <c r="F414" s="17">
        <f>E414/E413-1</f>
        <v>0</v>
      </c>
      <c r="G414" s="14">
        <v>14884510.99176836</v>
      </c>
      <c r="H414" s="17">
        <f>G414/G413-1</f>
        <v>0</v>
      </c>
      <c r="I414" s="14">
        <f>MAX(I413,B414)</f>
        <v>0</v>
      </c>
      <c r="J414" s="17">
        <f>B414/I414-1</f>
        <v>0</v>
      </c>
    </row>
    <row r="415" spans="1:10">
      <c r="A415" s="6">
        <v>44799</v>
      </c>
      <c r="B415" s="14">
        <v>17510366.94184962</v>
      </c>
      <c r="D415" s="17">
        <f>B415/B414-1</f>
        <v>0</v>
      </c>
      <c r="E415" s="14">
        <v>13209721.51810987</v>
      </c>
      <c r="F415" s="17">
        <f>E415/E414-1</f>
        <v>0</v>
      </c>
      <c r="G415" s="14">
        <v>14955477.79989059</v>
      </c>
      <c r="H415" s="17">
        <f>G415/G414-1</f>
        <v>0</v>
      </c>
      <c r="I415" s="14">
        <f>MAX(I414,B415)</f>
        <v>0</v>
      </c>
      <c r="J415" s="17">
        <f>B415/I415-1</f>
        <v>0</v>
      </c>
    </row>
    <row r="416" spans="1:10">
      <c r="A416" s="6">
        <v>44802</v>
      </c>
      <c r="B416" s="14">
        <v>17443964.67724847</v>
      </c>
      <c r="D416" s="17">
        <f>B416/B415-1</f>
        <v>0</v>
      </c>
      <c r="E416" s="14">
        <v>13057912.91264395</v>
      </c>
      <c r="F416" s="17">
        <f>E416/E415-1</f>
        <v>0</v>
      </c>
      <c r="G416" s="14">
        <v>14845099.71899149</v>
      </c>
      <c r="H416" s="17">
        <f>G416/G415-1</f>
        <v>0</v>
      </c>
      <c r="I416" s="14">
        <f>MAX(I415,B416)</f>
        <v>0</v>
      </c>
      <c r="J416" s="17">
        <f>B416/I416-1</f>
        <v>0</v>
      </c>
    </row>
    <row r="417" spans="1:10">
      <c r="A417" s="6">
        <v>44803</v>
      </c>
      <c r="B417" s="14">
        <v>17724662.94962486</v>
      </c>
      <c r="D417" s="17">
        <f>B417/B416-1</f>
        <v>0</v>
      </c>
      <c r="E417" s="14">
        <v>13365779.55739567</v>
      </c>
      <c r="F417" s="17">
        <f>E417/E416-1</f>
        <v>0</v>
      </c>
      <c r="G417" s="14">
        <v>15092097.29313462</v>
      </c>
      <c r="H417" s="17">
        <f>G417/G416-1</f>
        <v>0</v>
      </c>
      <c r="I417" s="14">
        <f>MAX(I416,B417)</f>
        <v>0</v>
      </c>
      <c r="J417" s="17">
        <f>B417/I417-1</f>
        <v>0</v>
      </c>
    </row>
    <row r="418" spans="1:10">
      <c r="A418" s="6">
        <v>44805</v>
      </c>
      <c r="B418" s="14">
        <v>17941797.11179819</v>
      </c>
      <c r="D418" s="17">
        <f>B418/B417-1</f>
        <v>0</v>
      </c>
      <c r="E418" s="14">
        <v>13267121.80864943</v>
      </c>
      <c r="F418" s="17">
        <f>E418/E417-1</f>
        <v>0</v>
      </c>
      <c r="G418" s="14">
        <v>15103260.16397139</v>
      </c>
      <c r="H418" s="17">
        <f>G418/G417-1</f>
        <v>0</v>
      </c>
      <c r="I418" s="14">
        <f>MAX(I417,B418)</f>
        <v>0</v>
      </c>
      <c r="J418" s="17">
        <f>B418/I418-1</f>
        <v>0</v>
      </c>
    </row>
    <row r="419" spans="1:10">
      <c r="A419" s="6">
        <v>44806</v>
      </c>
      <c r="B419" s="14">
        <v>18031128.52957793</v>
      </c>
      <c r="D419" s="17">
        <f>B419/B418-1</f>
        <v>0</v>
      </c>
      <c r="E419" s="14">
        <v>13259380.00021125</v>
      </c>
      <c r="F419" s="17">
        <f>E419/E418-1</f>
        <v>0</v>
      </c>
      <c r="G419" s="14">
        <v>15082277.23676061</v>
      </c>
      <c r="H419" s="17">
        <f>G419/G418-1</f>
        <v>0</v>
      </c>
      <c r="I419" s="14">
        <f>MAX(I418,B419)</f>
        <v>0</v>
      </c>
      <c r="J419" s="17">
        <f>B419/I419-1</f>
        <v>0</v>
      </c>
    </row>
    <row r="420" spans="1:10">
      <c r="A420" s="6">
        <v>44809</v>
      </c>
      <c r="B420" s="14">
        <v>18159546.28556129</v>
      </c>
      <c r="D420" s="17">
        <f>B420/B419-1</f>
        <v>0</v>
      </c>
      <c r="E420" s="14">
        <v>13340955.56661818</v>
      </c>
      <c r="F420" s="17">
        <f>E420/E419-1</f>
        <v>0</v>
      </c>
      <c r="G420" s="14">
        <v>15159880.39492424</v>
      </c>
      <c r="H420" s="17">
        <f>G420/G419-1</f>
        <v>0</v>
      </c>
      <c r="I420" s="14">
        <f>MAX(I419,B420)</f>
        <v>0</v>
      </c>
      <c r="J420" s="17">
        <f>B420/I420-1</f>
        <v>0</v>
      </c>
    </row>
    <row r="421" spans="1:10">
      <c r="A421" s="6">
        <v>44810</v>
      </c>
      <c r="B421" s="14">
        <v>18344246.38847128</v>
      </c>
      <c r="D421" s="17">
        <f>B421/B420-1</f>
        <v>0</v>
      </c>
      <c r="E421" s="14">
        <v>13357858.30745563</v>
      </c>
      <c r="F421" s="17">
        <f>E421/E420-1</f>
        <v>0</v>
      </c>
      <c r="G421" s="14">
        <v>15193617.49952646</v>
      </c>
      <c r="H421" s="17">
        <f>G421/G420-1</f>
        <v>0</v>
      </c>
      <c r="I421" s="14">
        <f>MAX(I420,B421)</f>
        <v>0</v>
      </c>
      <c r="J421" s="17">
        <f>B421/I421-1</f>
        <v>0</v>
      </c>
    </row>
    <row r="422" spans="1:10">
      <c r="A422" s="6">
        <v>44811</v>
      </c>
      <c r="B422" s="14">
        <v>18415002.30313433</v>
      </c>
      <c r="D422" s="17">
        <f>B422/B421-1</f>
        <v>0</v>
      </c>
      <c r="E422" s="14">
        <v>13364034.13023874</v>
      </c>
      <c r="F422" s="17">
        <f>E422/E421-1</f>
        <v>0</v>
      </c>
      <c r="G422" s="14">
        <v>15290494.94856283</v>
      </c>
      <c r="H422" s="17">
        <f>G422/G421-1</f>
        <v>0</v>
      </c>
      <c r="I422" s="14">
        <f>MAX(I421,B422)</f>
        <v>0</v>
      </c>
      <c r="J422" s="17">
        <f>B422/I422-1</f>
        <v>0</v>
      </c>
    </row>
    <row r="423" spans="1:10">
      <c r="A423" s="6">
        <v>44812</v>
      </c>
      <c r="B423" s="14">
        <v>18578170.12310046</v>
      </c>
      <c r="D423" s="17">
        <f>B423/B422-1</f>
        <v>0</v>
      </c>
      <c r="E423" s="14">
        <v>13470487.626313</v>
      </c>
      <c r="F423" s="17">
        <f>E423/E422-1</f>
        <v>0</v>
      </c>
      <c r="G423" s="14">
        <v>15367705.61174488</v>
      </c>
      <c r="H423" s="17">
        <f>G423/G422-1</f>
        <v>0</v>
      </c>
      <c r="I423" s="14">
        <f>MAX(I422,B423)</f>
        <v>0</v>
      </c>
      <c r="J423" s="17">
        <f>B423/I423-1</f>
        <v>0</v>
      </c>
    </row>
    <row r="424" spans="1:10">
      <c r="A424" s="6">
        <v>44813</v>
      </c>
      <c r="B424" s="14">
        <v>18579958.2648925</v>
      </c>
      <c r="D424" s="17">
        <f>B424/B423-1</f>
        <v>0</v>
      </c>
      <c r="E424" s="14">
        <v>13494422.36442126</v>
      </c>
      <c r="F424" s="17">
        <f>E424/E423-1</f>
        <v>0</v>
      </c>
      <c r="G424" s="14">
        <v>15372168.7960112</v>
      </c>
      <c r="H424" s="17">
        <f>G424/G423-1</f>
        <v>0</v>
      </c>
      <c r="I424" s="14">
        <f>MAX(I423,B424)</f>
        <v>0</v>
      </c>
      <c r="J424" s="17">
        <f>B424/I424-1</f>
        <v>0</v>
      </c>
    </row>
    <row r="425" spans="1:10">
      <c r="A425" s="6">
        <v>44816</v>
      </c>
      <c r="B425" s="14">
        <v>18897553.21012452</v>
      </c>
      <c r="D425" s="17">
        <f>B425/B424-1</f>
        <v>0</v>
      </c>
      <c r="E425" s="14">
        <v>13591033.66580368</v>
      </c>
      <c r="F425" s="17">
        <f>E425/E424-1</f>
        <v>0</v>
      </c>
      <c r="G425" s="14">
        <v>15496066.40909148</v>
      </c>
      <c r="H425" s="17">
        <f>G425/G424-1</f>
        <v>0</v>
      </c>
      <c r="I425" s="14">
        <f>MAX(I424,B425)</f>
        <v>0</v>
      </c>
      <c r="J425" s="17">
        <f>B425/I425-1</f>
        <v>0</v>
      </c>
    </row>
    <row r="426" spans="1:10">
      <c r="A426" s="6">
        <v>44817</v>
      </c>
      <c r="B426" s="14">
        <v>18877849.7655789</v>
      </c>
      <c r="D426" s="17">
        <f>B426/B425-1</f>
        <v>0</v>
      </c>
      <c r="E426" s="14">
        <v>13672341.32836591</v>
      </c>
      <c r="F426" s="17">
        <f>E426/E425-1</f>
        <v>0</v>
      </c>
      <c r="G426" s="14">
        <v>15537916.4662823</v>
      </c>
      <c r="H426" s="17">
        <f>G426/G425-1</f>
        <v>0</v>
      </c>
      <c r="I426" s="14">
        <f>MAX(I425,B426)</f>
        <v>0</v>
      </c>
      <c r="J426" s="17">
        <f>B426/I426-1</f>
        <v>0</v>
      </c>
    </row>
    <row r="427" spans="1:10">
      <c r="A427" s="6">
        <v>44818</v>
      </c>
      <c r="B427" s="14">
        <v>18883241.17016711</v>
      </c>
      <c r="D427" s="17">
        <f>B427/B426-1</f>
        <v>0</v>
      </c>
      <c r="E427" s="14">
        <v>13638833.53524827</v>
      </c>
      <c r="F427" s="17">
        <f>E427/E426-1</f>
        <v>0</v>
      </c>
      <c r="G427" s="14">
        <v>15530755.391092</v>
      </c>
      <c r="H427" s="17">
        <f>G427/G426-1</f>
        <v>0</v>
      </c>
      <c r="I427" s="14">
        <f>MAX(I426,B427)</f>
        <v>0</v>
      </c>
      <c r="J427" s="17">
        <f>B427/I427-1</f>
        <v>0</v>
      </c>
    </row>
    <row r="428" spans="1:10">
      <c r="A428" s="6">
        <v>44819</v>
      </c>
      <c r="B428" s="14">
        <v>18916255.1357328</v>
      </c>
      <c r="D428" s="17">
        <f>B428/B427-1</f>
        <v>0</v>
      </c>
      <c r="E428" s="14">
        <v>13595548.74263916</v>
      </c>
      <c r="F428" s="17">
        <f>E428/E427-1</f>
        <v>0</v>
      </c>
      <c r="G428" s="14">
        <v>15529999.20459327</v>
      </c>
      <c r="H428" s="17">
        <f>G428/G427-1</f>
        <v>0</v>
      </c>
      <c r="I428" s="14">
        <f>MAX(I427,B428)</f>
        <v>0</v>
      </c>
      <c r="J428" s="17">
        <f>B428/I428-1</f>
        <v>0</v>
      </c>
    </row>
    <row r="429" spans="1:10">
      <c r="A429" s="6">
        <v>44820</v>
      </c>
      <c r="B429" s="14">
        <v>18547125.20523996</v>
      </c>
      <c r="D429" s="17">
        <f>B429/B428-1</f>
        <v>0</v>
      </c>
      <c r="E429" s="14">
        <v>13302651.09164912</v>
      </c>
      <c r="F429" s="17">
        <f>E429/E428-1</f>
        <v>0</v>
      </c>
      <c r="G429" s="14">
        <v>15146318.05486232</v>
      </c>
      <c r="H429" s="17">
        <f>G429/G428-1</f>
        <v>0</v>
      </c>
      <c r="I429" s="14">
        <f>MAX(I428,B429)</f>
        <v>0</v>
      </c>
      <c r="J429" s="17">
        <f>B429/I429-1</f>
        <v>0</v>
      </c>
    </row>
    <row r="430" spans="1:10">
      <c r="A430" s="6">
        <v>44823</v>
      </c>
      <c r="B430" s="14">
        <v>18378692.81605492</v>
      </c>
      <c r="D430" s="17">
        <f>B430/B429-1</f>
        <v>0</v>
      </c>
      <c r="E430" s="14">
        <v>13346567.70876243</v>
      </c>
      <c r="F430" s="17">
        <f>E430/E429-1</f>
        <v>0</v>
      </c>
      <c r="G430" s="14">
        <v>15111237.26150552</v>
      </c>
      <c r="H430" s="17">
        <f>G430/G429-1</f>
        <v>0</v>
      </c>
      <c r="I430" s="14">
        <f>MAX(I429,B430)</f>
        <v>0</v>
      </c>
      <c r="J430" s="17">
        <f>B430/I430-1</f>
        <v>0</v>
      </c>
    </row>
    <row r="431" spans="1:10">
      <c r="A431" s="6">
        <v>44824</v>
      </c>
      <c r="B431" s="14">
        <v>18472001.50840372</v>
      </c>
      <c r="D431" s="17">
        <f>B431/B430-1</f>
        <v>0</v>
      </c>
      <c r="E431" s="14">
        <v>13501495.14045042</v>
      </c>
      <c r="F431" s="17">
        <f>E431/E430-1</f>
        <v>0</v>
      </c>
      <c r="G431" s="14">
        <v>15306655.07239609</v>
      </c>
      <c r="H431" s="17">
        <f>G431/G430-1</f>
        <v>0</v>
      </c>
      <c r="I431" s="14">
        <f>MAX(I430,B431)</f>
        <v>0</v>
      </c>
      <c r="J431" s="17">
        <f>B431/I431-1</f>
        <v>0</v>
      </c>
    </row>
    <row r="432" spans="1:10">
      <c r="A432" s="6">
        <v>44825</v>
      </c>
      <c r="B432" s="14">
        <v>18406758.09625451</v>
      </c>
      <c r="D432" s="17">
        <f>B432/B431-1</f>
        <v>0</v>
      </c>
      <c r="E432" s="14">
        <v>13406923.16524949</v>
      </c>
      <c r="F432" s="17">
        <f>E432/E431-1</f>
        <v>0</v>
      </c>
      <c r="G432" s="14">
        <v>15183651.21936763</v>
      </c>
      <c r="H432" s="17">
        <f>G432/G431-1</f>
        <v>0</v>
      </c>
      <c r="I432" s="14">
        <f>MAX(I431,B432)</f>
        <v>0</v>
      </c>
      <c r="J432" s="17">
        <f>B432/I432-1</f>
        <v>0</v>
      </c>
    </row>
    <row r="433" spans="1:10">
      <c r="A433" s="6">
        <v>44826</v>
      </c>
      <c r="B433" s="14">
        <v>18637504.2051934</v>
      </c>
      <c r="D433" s="17">
        <f>B433/B432-1</f>
        <v>0</v>
      </c>
      <c r="E433" s="14">
        <v>13384912.89460167</v>
      </c>
      <c r="F433" s="17">
        <f>E433/E432-1</f>
        <v>0</v>
      </c>
      <c r="G433" s="14">
        <v>15213862.51696385</v>
      </c>
      <c r="H433" s="17">
        <f>G433/G432-1</f>
        <v>0</v>
      </c>
      <c r="I433" s="14">
        <f>MAX(I432,B433)</f>
        <v>0</v>
      </c>
      <c r="J433" s="17">
        <f>B433/I433-1</f>
        <v>0</v>
      </c>
    </row>
    <row r="434" spans="1:10">
      <c r="A434" s="6">
        <v>44827</v>
      </c>
      <c r="B434" s="14">
        <v>18294833.57471804</v>
      </c>
      <c r="D434" s="17">
        <f>B434/B433-1</f>
        <v>0</v>
      </c>
      <c r="E434" s="14">
        <v>13143213.09705711</v>
      </c>
      <c r="F434" s="17">
        <f>E434/E433-1</f>
        <v>0</v>
      </c>
      <c r="G434" s="14">
        <v>14924182.84002454</v>
      </c>
      <c r="H434" s="17">
        <f>G434/G433-1</f>
        <v>0</v>
      </c>
      <c r="I434" s="14">
        <f>MAX(I433,B434)</f>
        <v>0</v>
      </c>
      <c r="J434" s="17">
        <f>B434/I434-1</f>
        <v>0</v>
      </c>
    </row>
    <row r="435" spans="1:10">
      <c r="A435" s="6">
        <v>44830</v>
      </c>
      <c r="B435" s="14">
        <v>17682503.66925081</v>
      </c>
      <c r="D435" s="17">
        <f>B435/B434-1</f>
        <v>0</v>
      </c>
      <c r="E435" s="14">
        <v>12854093.08491606</v>
      </c>
      <c r="F435" s="17">
        <f>E435/E434-1</f>
        <v>0</v>
      </c>
      <c r="G435" s="14">
        <v>14511393.39145921</v>
      </c>
      <c r="H435" s="17">
        <f>G435/G434-1</f>
        <v>0</v>
      </c>
      <c r="I435" s="14">
        <f>MAX(I434,B435)</f>
        <v>0</v>
      </c>
      <c r="J435" s="17">
        <f>B435/I435-1</f>
        <v>0</v>
      </c>
    </row>
    <row r="436" spans="1:10">
      <c r="A436" s="6">
        <v>44831</v>
      </c>
      <c r="B436" s="14">
        <v>17608541.7380849</v>
      </c>
      <c r="D436" s="17">
        <f>B436/B435-1</f>
        <v>0</v>
      </c>
      <c r="E436" s="14">
        <v>12856101.48680216</v>
      </c>
      <c r="F436" s="17">
        <f>E436/E435-1</f>
        <v>0</v>
      </c>
      <c r="G436" s="14">
        <v>14552063.00046275</v>
      </c>
      <c r="H436" s="17">
        <f>G436/G435-1</f>
        <v>0</v>
      </c>
      <c r="I436" s="14">
        <f>MAX(I435,B436)</f>
        <v>0</v>
      </c>
      <c r="J436" s="17">
        <f>B436/I436-1</f>
        <v>0</v>
      </c>
    </row>
    <row r="437" spans="1:10">
      <c r="A437" s="6">
        <v>44832</v>
      </c>
      <c r="B437" s="14">
        <v>17526137.14234485</v>
      </c>
      <c r="D437" s="17">
        <f>B437/B436-1</f>
        <v>0</v>
      </c>
      <c r="E437" s="14">
        <v>12763570.43400779</v>
      </c>
      <c r="F437" s="17">
        <f>E437/E436-1</f>
        <v>0</v>
      </c>
      <c r="G437" s="14">
        <v>14489345.68507583</v>
      </c>
      <c r="H437" s="17">
        <f>G437/G436-1</f>
        <v>0</v>
      </c>
      <c r="I437" s="14">
        <f>MAX(I436,B437)</f>
        <v>0</v>
      </c>
      <c r="J437" s="17">
        <f>B437/I437-1</f>
        <v>0</v>
      </c>
    </row>
    <row r="438" spans="1:10">
      <c r="A438" s="6">
        <v>44833</v>
      </c>
      <c r="B438" s="14">
        <v>17536260.93587478</v>
      </c>
      <c r="D438" s="17">
        <f>B438/B437-1</f>
        <v>0</v>
      </c>
      <c r="E438" s="14">
        <v>12748377.52780653</v>
      </c>
      <c r="F438" s="17">
        <f>E438/E437-1</f>
        <v>0</v>
      </c>
      <c r="G438" s="14">
        <v>14544553.26217009</v>
      </c>
      <c r="H438" s="17">
        <f>G438/G437-1</f>
        <v>0</v>
      </c>
      <c r="I438" s="14">
        <f>MAX(I437,B438)</f>
        <v>0</v>
      </c>
      <c r="J438" s="17">
        <f>B438/I438-1</f>
        <v>0</v>
      </c>
    </row>
    <row r="439" spans="1:10">
      <c r="A439" s="6">
        <v>44834</v>
      </c>
      <c r="B439" s="14">
        <v>17870011.16502793</v>
      </c>
      <c r="D439" s="17">
        <f>B439/B438-1</f>
        <v>0</v>
      </c>
      <c r="E439" s="14">
        <v>12947030.43913827</v>
      </c>
      <c r="F439" s="17">
        <f>E439/E438-1</f>
        <v>0</v>
      </c>
      <c r="G439" s="14">
        <v>14731837.61157391</v>
      </c>
      <c r="H439" s="17">
        <f>G439/G438-1</f>
        <v>0</v>
      </c>
      <c r="I439" s="14">
        <f>MAX(I438,B439)</f>
        <v>0</v>
      </c>
      <c r="J439" s="17">
        <f>B439/I439-1</f>
        <v>0</v>
      </c>
    </row>
    <row r="440" spans="1:10">
      <c r="A440" s="6">
        <v>44837</v>
      </c>
      <c r="B440" s="14">
        <v>17576321.86244113</v>
      </c>
      <c r="D440" s="17">
        <f>B440/B439-1</f>
        <v>0</v>
      </c>
      <c r="E440" s="14">
        <v>12781022.27977094</v>
      </c>
      <c r="F440" s="17">
        <f>E440/E439-1</f>
        <v>0</v>
      </c>
      <c r="G440" s="14">
        <v>14597233.81296466</v>
      </c>
      <c r="H440" s="17">
        <f>G440/G439-1</f>
        <v>0</v>
      </c>
      <c r="I440" s="14">
        <f>MAX(I439,B440)</f>
        <v>0</v>
      </c>
      <c r="J440" s="17">
        <f>B440/I440-1</f>
        <v>0</v>
      </c>
    </row>
    <row r="441" spans="1:10">
      <c r="A441" s="6">
        <v>44838</v>
      </c>
      <c r="B441" s="14">
        <v>18089096.43953156</v>
      </c>
      <c r="D441" s="17">
        <f>B441/B440-1</f>
        <v>0</v>
      </c>
      <c r="E441" s="14">
        <v>13067399.66688948</v>
      </c>
      <c r="F441" s="17">
        <f>E441/E440-1</f>
        <v>0</v>
      </c>
      <c r="G441" s="14">
        <v>14881880.18801094</v>
      </c>
      <c r="H441" s="17">
        <f>G441/G440-1</f>
        <v>0</v>
      </c>
      <c r="I441" s="14">
        <f>MAX(I440,B441)</f>
        <v>0</v>
      </c>
      <c r="J441" s="17">
        <f>B441/I441-1</f>
        <v>0</v>
      </c>
    </row>
    <row r="442" spans="1:10">
      <c r="A442" s="6">
        <v>44840</v>
      </c>
      <c r="B442" s="14">
        <v>18421528.21031697</v>
      </c>
      <c r="D442" s="17">
        <f>B442/B441-1</f>
        <v>0</v>
      </c>
      <c r="E442" s="14">
        <v>13144204.3289541</v>
      </c>
      <c r="F442" s="17">
        <f>E442/E441-1</f>
        <v>0</v>
      </c>
      <c r="G442" s="14">
        <v>15029931.48110975</v>
      </c>
      <c r="H442" s="17">
        <f>G442/G441-1</f>
        <v>0</v>
      </c>
      <c r="I442" s="14">
        <f>MAX(I441,B442)</f>
        <v>0</v>
      </c>
      <c r="J442" s="17">
        <f>B442/I442-1</f>
        <v>0</v>
      </c>
    </row>
    <row r="443" spans="1:10">
      <c r="A443" s="6">
        <v>44841</v>
      </c>
      <c r="B443" s="14">
        <v>18472304.23360816</v>
      </c>
      <c r="D443" s="17">
        <f>B443/B442-1</f>
        <v>0</v>
      </c>
      <c r="E443" s="14">
        <v>13130553.89352936</v>
      </c>
      <c r="F443" s="17">
        <f>E443/E442-1</f>
        <v>0</v>
      </c>
      <c r="G443" s="14">
        <v>15019206.69603314</v>
      </c>
      <c r="H443" s="17">
        <f>G443/G442-1</f>
        <v>0</v>
      </c>
      <c r="I443" s="14">
        <f>MAX(I442,B443)</f>
        <v>0</v>
      </c>
      <c r="J443" s="17">
        <f>B443/I443-1</f>
        <v>0</v>
      </c>
    </row>
    <row r="444" spans="1:10">
      <c r="A444" s="6">
        <v>44844</v>
      </c>
      <c r="B444" s="14">
        <v>18167296.43598606</v>
      </c>
      <c r="D444" s="17">
        <f>B444/B443-1</f>
        <v>0</v>
      </c>
      <c r="E444" s="14">
        <v>13056910.79927963</v>
      </c>
      <c r="F444" s="17">
        <f>E444/E443-1</f>
        <v>0</v>
      </c>
      <c r="G444" s="14">
        <v>14925783.55862734</v>
      </c>
      <c r="H444" s="17">
        <f>G444/G443-1</f>
        <v>0</v>
      </c>
      <c r="I444" s="14">
        <f>MAX(I443,B444)</f>
        <v>0</v>
      </c>
      <c r="J444" s="17">
        <f>B444/I444-1</f>
        <v>0</v>
      </c>
    </row>
    <row r="445" spans="1:10">
      <c r="A445" s="6">
        <v>44845</v>
      </c>
      <c r="B445" s="14">
        <v>17961311.69239407</v>
      </c>
      <c r="D445" s="17">
        <f>B445/B444-1</f>
        <v>0</v>
      </c>
      <c r="E445" s="14">
        <v>12856897.4980796</v>
      </c>
      <c r="F445" s="17">
        <f>E445/E444-1</f>
        <v>0</v>
      </c>
      <c r="G445" s="14">
        <v>14682022.07373835</v>
      </c>
      <c r="H445" s="17">
        <f>G445/G444-1</f>
        <v>0</v>
      </c>
      <c r="I445" s="14">
        <f>MAX(I444,B445)</f>
        <v>0</v>
      </c>
      <c r="J445" s="17">
        <f>B445/I445-1</f>
        <v>0</v>
      </c>
    </row>
    <row r="446" spans="1:10">
      <c r="A446" s="6">
        <v>44846</v>
      </c>
      <c r="B446" s="14">
        <v>18108715.49378297</v>
      </c>
      <c r="D446" s="17">
        <f>B446/B445-1</f>
        <v>0</v>
      </c>
      <c r="E446" s="14">
        <v>12951871.54781847</v>
      </c>
      <c r="F446" s="17">
        <f>E446/E445-1</f>
        <v>0</v>
      </c>
      <c r="G446" s="14">
        <v>14774012.41213894</v>
      </c>
      <c r="H446" s="17">
        <f>G446/G445-1</f>
        <v>0</v>
      </c>
      <c r="I446" s="14">
        <f>MAX(I445,B446)</f>
        <v>0</v>
      </c>
      <c r="J446" s="17">
        <f>B446/I446-1</f>
        <v>0</v>
      </c>
    </row>
    <row r="447" spans="1:10">
      <c r="A447" s="6">
        <v>44847</v>
      </c>
      <c r="B447" s="14">
        <v>18039613.54214858</v>
      </c>
      <c r="D447" s="17">
        <f>B447/B446-1</f>
        <v>0</v>
      </c>
      <c r="E447" s="14">
        <v>12865457.73087582</v>
      </c>
      <c r="F447" s="17">
        <f>E447/E446-1</f>
        <v>0</v>
      </c>
      <c r="G447" s="14">
        <v>14687824.38819478</v>
      </c>
      <c r="H447" s="17">
        <f>G447/G446-1</f>
        <v>0</v>
      </c>
      <c r="I447" s="14">
        <f>MAX(I446,B447)</f>
        <v>0</v>
      </c>
      <c r="J447" s="17">
        <f>B447/I447-1</f>
        <v>0</v>
      </c>
    </row>
    <row r="448" spans="1:10">
      <c r="A448" s="6">
        <v>44848</v>
      </c>
      <c r="B448" s="14">
        <v>17873708.39230493</v>
      </c>
      <c r="D448" s="17">
        <f>B448/B447-1</f>
        <v>0</v>
      </c>
      <c r="E448" s="14">
        <v>12940134.6010474</v>
      </c>
      <c r="F448" s="17">
        <f>E448/E447-1</f>
        <v>0</v>
      </c>
      <c r="G448" s="14">
        <v>14683922.5691617</v>
      </c>
      <c r="H448" s="17">
        <f>G448/G447-1</f>
        <v>0</v>
      </c>
      <c r="I448" s="14">
        <f>MAX(I447,B448)</f>
        <v>0</v>
      </c>
      <c r="J448" s="17">
        <f>B448/I448-1</f>
        <v>0</v>
      </c>
    </row>
    <row r="449" spans="1:10">
      <c r="A449" s="6">
        <v>44851</v>
      </c>
      <c r="B449" s="14">
        <v>17920991.98326426</v>
      </c>
      <c r="D449" s="17">
        <f>B449/B448-1</f>
        <v>0</v>
      </c>
      <c r="E449" s="14">
        <v>13020278.40125484</v>
      </c>
      <c r="F449" s="17">
        <f>E449/E448-1</f>
        <v>0</v>
      </c>
      <c r="G449" s="14">
        <v>14721839.56615044</v>
      </c>
      <c r="H449" s="17">
        <f>G449/G448-1</f>
        <v>0</v>
      </c>
      <c r="I449" s="14">
        <f>MAX(I448,B449)</f>
        <v>0</v>
      </c>
      <c r="J449" s="17">
        <f>B449/I449-1</f>
        <v>0</v>
      </c>
    </row>
    <row r="450" spans="1:10">
      <c r="A450" s="6">
        <v>44852</v>
      </c>
      <c r="B450" s="14">
        <v>18237055.13593588</v>
      </c>
      <c r="D450" s="17">
        <f>B450/B449-1</f>
        <v>0</v>
      </c>
      <c r="E450" s="14">
        <v>13152269.84114886</v>
      </c>
      <c r="F450" s="17">
        <f>E450/E449-1</f>
        <v>0</v>
      </c>
      <c r="G450" s="14">
        <v>14869810.78302781</v>
      </c>
      <c r="H450" s="17">
        <f>G450/G449-1</f>
        <v>0</v>
      </c>
      <c r="I450" s="14">
        <f>MAX(I449,B450)</f>
        <v>0</v>
      </c>
      <c r="J450" s="17">
        <f>B450/I450-1</f>
        <v>0</v>
      </c>
    </row>
    <row r="451" spans="1:10">
      <c r="A451" s="6">
        <v>44853</v>
      </c>
      <c r="B451" s="14">
        <v>18385739.4915421</v>
      </c>
      <c r="D451" s="17">
        <f>B451/B450-1</f>
        <v>0</v>
      </c>
      <c r="E451" s="14">
        <v>13163421.94308992</v>
      </c>
      <c r="F451" s="17">
        <f>E451/E450-1</f>
        <v>0</v>
      </c>
      <c r="G451" s="14">
        <v>14856403.58838072</v>
      </c>
      <c r="H451" s="17">
        <f>G451/G450-1</f>
        <v>0</v>
      </c>
      <c r="I451" s="14">
        <f>MAX(I450,B451)</f>
        <v>0</v>
      </c>
      <c r="J451" s="17">
        <f>B451/I451-1</f>
        <v>0</v>
      </c>
    </row>
    <row r="452" spans="1:10">
      <c r="A452" s="6">
        <v>44854</v>
      </c>
      <c r="B452" s="14">
        <v>18355045.97937699</v>
      </c>
      <c r="D452" s="17">
        <f>B452/B451-1</f>
        <v>0</v>
      </c>
      <c r="E452" s="14">
        <v>13202048.91003609</v>
      </c>
      <c r="F452" s="17">
        <f>E452/E451-1</f>
        <v>0</v>
      </c>
      <c r="G452" s="14">
        <v>14902891.88666353</v>
      </c>
      <c r="H452" s="17">
        <f>G452/G451-1</f>
        <v>0</v>
      </c>
      <c r="I452" s="14">
        <f>MAX(I451,B452)</f>
        <v>0</v>
      </c>
      <c r="J452" s="17">
        <f>B452/I452-1</f>
        <v>0</v>
      </c>
    </row>
    <row r="453" spans="1:10">
      <c r="A453" s="6">
        <v>44855</v>
      </c>
      <c r="B453" s="14">
        <v>18112549.84563737</v>
      </c>
      <c r="D453" s="17">
        <f>B453/B452-1</f>
        <v>0</v>
      </c>
      <c r="E453" s="14">
        <v>13175595.73555605</v>
      </c>
      <c r="F453" s="17">
        <f>E453/E452-1</f>
        <v>0</v>
      </c>
      <c r="G453" s="14">
        <v>14821977.62861701</v>
      </c>
      <c r="H453" s="17">
        <f>G453/G452-1</f>
        <v>0</v>
      </c>
      <c r="I453" s="14">
        <f>MAX(I452,B453)</f>
        <v>0</v>
      </c>
      <c r="J453" s="17">
        <f>B453/I453-1</f>
        <v>0</v>
      </c>
    </row>
    <row r="454" spans="1:10">
      <c r="A454" s="6">
        <v>44858</v>
      </c>
      <c r="B454" s="14">
        <v>18230206.07882948</v>
      </c>
      <c r="D454" s="17">
        <f>B454/B453-1</f>
        <v>0</v>
      </c>
      <c r="E454" s="14">
        <v>13279008.35452037</v>
      </c>
      <c r="F454" s="17">
        <f>E454/E453-1</f>
        <v>0</v>
      </c>
      <c r="G454" s="14">
        <v>14924438.85376729</v>
      </c>
      <c r="H454" s="17">
        <f>G454/G453-1</f>
        <v>0</v>
      </c>
      <c r="I454" s="14">
        <f>MAX(I453,B454)</f>
        <v>0</v>
      </c>
      <c r="J454" s="17">
        <f>B454/I454-1</f>
        <v>0</v>
      </c>
    </row>
    <row r="455" spans="1:10">
      <c r="A455" s="6">
        <v>44859</v>
      </c>
      <c r="B455" s="14">
        <v>18190309.29054028</v>
      </c>
      <c r="D455" s="17">
        <f>B455/B454-1</f>
        <v>0</v>
      </c>
      <c r="E455" s="14">
        <v>13244124.81512224</v>
      </c>
      <c r="F455" s="17">
        <f>E455/E454-1</f>
        <v>0</v>
      </c>
      <c r="G455" s="14">
        <v>14937250.07428055</v>
      </c>
      <c r="H455" s="17">
        <f>G455/G454-1</f>
        <v>0</v>
      </c>
      <c r="I455" s="14">
        <f>MAX(I454,B455)</f>
        <v>0</v>
      </c>
      <c r="J455" s="17">
        <f>B455/I455-1</f>
        <v>0</v>
      </c>
    </row>
    <row r="456" spans="1:10">
      <c r="A456" s="6">
        <v>44861</v>
      </c>
      <c r="B456" s="14">
        <v>18272310.08610847</v>
      </c>
      <c r="D456" s="17">
        <f>B456/B455-1</f>
        <v>0</v>
      </c>
      <c r="E456" s="14">
        <v>13320027.88702476</v>
      </c>
      <c r="F456" s="17">
        <f>E456/E455-1</f>
        <v>0</v>
      </c>
      <c r="G456" s="14">
        <v>15020560.72088189</v>
      </c>
      <c r="H456" s="17">
        <f>G456/G455-1</f>
        <v>0</v>
      </c>
      <c r="I456" s="14">
        <f>MAX(I455,B456)</f>
        <v>0</v>
      </c>
      <c r="J456" s="17">
        <f>B456/I456-1</f>
        <v>0</v>
      </c>
    </row>
    <row r="457" spans="1:10">
      <c r="A457" s="6">
        <v>44862</v>
      </c>
      <c r="B457" s="14">
        <v>18103523.83882655</v>
      </c>
      <c r="D457" s="17">
        <f>B457/B456-1</f>
        <v>0</v>
      </c>
      <c r="E457" s="14">
        <v>13318346.33189461</v>
      </c>
      <c r="F457" s="17">
        <f>E457/E456-1</f>
        <v>0</v>
      </c>
      <c r="G457" s="14">
        <v>14951040.24900387</v>
      </c>
      <c r="H457" s="17">
        <f>G457/G456-1</f>
        <v>0</v>
      </c>
      <c r="I457" s="14">
        <f>MAX(I456,B457)</f>
        <v>0</v>
      </c>
      <c r="J457" s="17">
        <f>B457/I457-1</f>
        <v>0</v>
      </c>
    </row>
    <row r="458" spans="1:10">
      <c r="A458" s="6">
        <v>44865</v>
      </c>
      <c r="B458" s="14">
        <v>18271206.33672726</v>
      </c>
      <c r="D458" s="17">
        <f>B458/B457-1</f>
        <v>0</v>
      </c>
      <c r="E458" s="14">
        <v>13478364.83156672</v>
      </c>
      <c r="F458" s="17">
        <f>E458/E457-1</f>
        <v>0</v>
      </c>
      <c r="G458" s="14">
        <v>15083109.38470514</v>
      </c>
      <c r="H458" s="17">
        <f>G458/G457-1</f>
        <v>0</v>
      </c>
      <c r="I458" s="14">
        <f>MAX(I457,B458)</f>
        <v>0</v>
      </c>
      <c r="J458" s="17">
        <f>B458/I458-1</f>
        <v>0</v>
      </c>
    </row>
    <row r="459" spans="1:10">
      <c r="A459" s="6">
        <v>44866</v>
      </c>
      <c r="B459" s="14">
        <v>18673059.28742926</v>
      </c>
      <c r="D459" s="17">
        <f>B459/B458-1</f>
        <v>0</v>
      </c>
      <c r="E459" s="14">
        <v>13578102.34290886</v>
      </c>
      <c r="F459" s="17">
        <f>E459/E458-1</f>
        <v>0</v>
      </c>
      <c r="G459" s="14">
        <v>15197092.31821194</v>
      </c>
      <c r="H459" s="17">
        <f>G459/G458-1</f>
        <v>0</v>
      </c>
      <c r="I459" s="14">
        <f>MAX(I458,B459)</f>
        <v>0</v>
      </c>
      <c r="J459" s="17">
        <f>B459/I459-1</f>
        <v>0</v>
      </c>
    </row>
    <row r="460" spans="1:10">
      <c r="A460" s="6">
        <v>44867</v>
      </c>
      <c r="B460" s="14">
        <v>18665201.57226894</v>
      </c>
      <c r="D460" s="17">
        <f>B460/B459-1</f>
        <v>0</v>
      </c>
      <c r="E460" s="14">
        <v>13543923.57387123</v>
      </c>
      <c r="F460" s="17">
        <f>E460/E459-1</f>
        <v>0</v>
      </c>
      <c r="G460" s="14">
        <v>15186900.05007795</v>
      </c>
      <c r="H460" s="17">
        <f>G460/G459-1</f>
        <v>0</v>
      </c>
      <c r="I460" s="14">
        <f>MAX(I459,B460)</f>
        <v>0</v>
      </c>
      <c r="J460" s="17">
        <f>B460/I460-1</f>
        <v>0</v>
      </c>
    </row>
    <row r="461" spans="1:10">
      <c r="A461" s="6">
        <v>44868</v>
      </c>
      <c r="B461" s="14">
        <v>18767768.88557905</v>
      </c>
      <c r="D461" s="17">
        <f>B461/B460-1</f>
        <v>0</v>
      </c>
      <c r="E461" s="14">
        <v>13533338.73922628</v>
      </c>
      <c r="F461" s="17">
        <f>E461/E460-1</f>
        <v>0</v>
      </c>
      <c r="G461" s="14">
        <v>15201469.52453185</v>
      </c>
      <c r="H461" s="17">
        <f>G461/G460-1</f>
        <v>0</v>
      </c>
      <c r="I461" s="14">
        <f>MAX(I460,B461)</f>
        <v>0</v>
      </c>
      <c r="J461" s="17">
        <f>B461/I461-1</f>
        <v>0</v>
      </c>
    </row>
    <row r="462" spans="1:10">
      <c r="A462" s="6">
        <v>44869</v>
      </c>
      <c r="B462" s="14">
        <v>18897762.28843529</v>
      </c>
      <c r="D462" s="17">
        <f>B462/B461-1</f>
        <v>0</v>
      </c>
      <c r="E462" s="14">
        <v>13574316.90981545</v>
      </c>
      <c r="F462" s="17">
        <f>E462/E461-1</f>
        <v>0</v>
      </c>
      <c r="G462" s="14">
        <v>15256849.7660672</v>
      </c>
      <c r="H462" s="17">
        <f>G462/G461-1</f>
        <v>0</v>
      </c>
      <c r="I462" s="14">
        <f>MAX(I461,B462)</f>
        <v>0</v>
      </c>
      <c r="J462" s="17">
        <f>B462/I462-1</f>
        <v>0</v>
      </c>
    </row>
    <row r="463" spans="1:10">
      <c r="A463" s="6">
        <v>44872</v>
      </c>
      <c r="B463" s="14">
        <v>19066792.54718386</v>
      </c>
      <c r="D463" s="17">
        <f>B463/B462-1</f>
        <v>0</v>
      </c>
      <c r="E463" s="14">
        <v>13648644.1120744</v>
      </c>
      <c r="F463" s="17">
        <f>E463/E462-1</f>
        <v>0</v>
      </c>
      <c r="G463" s="14">
        <v>15361370.20315182</v>
      </c>
      <c r="H463" s="17">
        <f>G463/G462-1</f>
        <v>0</v>
      </c>
      <c r="I463" s="14">
        <f>MAX(I462,B463)</f>
        <v>0</v>
      </c>
      <c r="J463" s="17">
        <f>B463/I463-1</f>
        <v>0</v>
      </c>
    </row>
    <row r="464" spans="1:10">
      <c r="A464" s="6">
        <v>44874</v>
      </c>
      <c r="B464" s="14">
        <v>18819650.39838791</v>
      </c>
      <c r="D464" s="17">
        <f>B464/B463-1</f>
        <v>0</v>
      </c>
      <c r="E464" s="14">
        <v>13607426.03035092</v>
      </c>
      <c r="F464" s="17">
        <f>E464/E463-1</f>
        <v>0</v>
      </c>
      <c r="G464" s="14">
        <v>15319991.59448968</v>
      </c>
      <c r="H464" s="17">
        <f>G464/G463-1</f>
        <v>0</v>
      </c>
      <c r="I464" s="14">
        <f>MAX(I463,B464)</f>
        <v>0</v>
      </c>
      <c r="J464" s="17">
        <f>B464/I464-1</f>
        <v>0</v>
      </c>
    </row>
    <row r="465" spans="1:10">
      <c r="A465" s="6">
        <v>44875</v>
      </c>
      <c r="B465" s="14">
        <v>18695686.40332881</v>
      </c>
      <c r="D465" s="17">
        <f>B465/B464-1</f>
        <v>0</v>
      </c>
      <c r="E465" s="14">
        <v>13496844.01940843</v>
      </c>
      <c r="F465" s="17">
        <f>E465/E464-1</f>
        <v>0</v>
      </c>
      <c r="G465" s="14">
        <v>15178773.38334154</v>
      </c>
      <c r="H465" s="17">
        <f>G465/G464-1</f>
        <v>0</v>
      </c>
      <c r="I465" s="14">
        <f>MAX(I464,B465)</f>
        <v>0</v>
      </c>
      <c r="J465" s="17">
        <f>B465/I465-1</f>
        <v>0</v>
      </c>
    </row>
    <row r="466" spans="1:10">
      <c r="A466" s="6">
        <v>44876</v>
      </c>
      <c r="B466" s="14">
        <v>18615246.0903662</v>
      </c>
      <c r="D466" s="17">
        <f>B466/B465-1</f>
        <v>0</v>
      </c>
      <c r="E466" s="14">
        <v>13680270.71669743</v>
      </c>
      <c r="F466" s="17">
        <f>E466/E465-1</f>
        <v>0</v>
      </c>
      <c r="G466" s="14">
        <v>15247806.91959687</v>
      </c>
      <c r="H466" s="17">
        <f>G466/G465-1</f>
        <v>0</v>
      </c>
      <c r="I466" s="14">
        <f>MAX(I465,B466)</f>
        <v>0</v>
      </c>
      <c r="J466" s="17">
        <f>B466/I466-1</f>
        <v>0</v>
      </c>
    </row>
    <row r="467" spans="1:10">
      <c r="A467" s="6">
        <v>44879</v>
      </c>
      <c r="B467" s="14">
        <v>18423357.12609023</v>
      </c>
      <c r="D467" s="17">
        <f>B467/B466-1</f>
        <v>0</v>
      </c>
      <c r="E467" s="14">
        <v>13681884.27827872</v>
      </c>
      <c r="F467" s="17">
        <f>E467/E466-1</f>
        <v>0</v>
      </c>
      <c r="G467" s="14">
        <v>15273835.64061514</v>
      </c>
      <c r="H467" s="17">
        <f>G467/G466-1</f>
        <v>0</v>
      </c>
      <c r="I467" s="14">
        <f>MAX(I466,B467)</f>
        <v>0</v>
      </c>
      <c r="J467" s="17">
        <f>B467/I467-1</f>
        <v>0</v>
      </c>
    </row>
    <row r="468" spans="1:10">
      <c r="A468" s="6">
        <v>44880</v>
      </c>
      <c r="B468" s="14">
        <v>18464250.86233547</v>
      </c>
      <c r="D468" s="17">
        <f>B468/B467-1</f>
        <v>0</v>
      </c>
      <c r="E468" s="14">
        <v>13720739.84558294</v>
      </c>
      <c r="F468" s="17">
        <f>E468/E467-1</f>
        <v>0</v>
      </c>
      <c r="G468" s="14">
        <v>15281970.5687205</v>
      </c>
      <c r="H468" s="17">
        <f>G468/G467-1</f>
        <v>0</v>
      </c>
      <c r="I468" s="14">
        <f>MAX(I467,B468)</f>
        <v>0</v>
      </c>
      <c r="J468" s="17">
        <f>B468/I468-1</f>
        <v>0</v>
      </c>
    </row>
    <row r="469" spans="1:10">
      <c r="A469" s="6">
        <v>44881</v>
      </c>
      <c r="B469" s="14">
        <v>18623728.0304801</v>
      </c>
      <c r="D469" s="17">
        <f>B469/B468-1</f>
        <v>0</v>
      </c>
      <c r="E469" s="14">
        <v>13694639.97446023</v>
      </c>
      <c r="F469" s="17">
        <f>E469/E468-1</f>
        <v>0</v>
      </c>
      <c r="G469" s="14">
        <v>15218792.61133808</v>
      </c>
      <c r="H469" s="17">
        <f>G469/G468-1</f>
        <v>0</v>
      </c>
      <c r="I469" s="14">
        <f>MAX(I468,B469)</f>
        <v>0</v>
      </c>
      <c r="J469" s="17">
        <f>B469/I469-1</f>
        <v>0</v>
      </c>
    </row>
    <row r="470" spans="1:10">
      <c r="A470" s="6">
        <v>44882</v>
      </c>
      <c r="B470" s="14">
        <v>18788913.78784928</v>
      </c>
      <c r="D470" s="17">
        <f>B470/B469-1</f>
        <v>0</v>
      </c>
      <c r="E470" s="14">
        <v>13637543.84106713</v>
      </c>
      <c r="F470" s="17">
        <f>E470/E469-1</f>
        <v>0</v>
      </c>
      <c r="G470" s="14">
        <v>15166152.67391928</v>
      </c>
      <c r="H470" s="17">
        <f>G470/G469-1</f>
        <v>0</v>
      </c>
      <c r="I470" s="14">
        <f>MAX(I469,B470)</f>
        <v>0</v>
      </c>
      <c r="J470" s="17">
        <f>B470/I470-1</f>
        <v>0</v>
      </c>
    </row>
    <row r="471" spans="1:10">
      <c r="A471" s="6">
        <v>44883</v>
      </c>
      <c r="B471" s="14">
        <v>18637666.186528</v>
      </c>
      <c r="D471" s="17">
        <f>B471/B470-1</f>
        <v>0</v>
      </c>
      <c r="E471" s="14">
        <v>13597622.80367872</v>
      </c>
      <c r="F471" s="17">
        <f>E471/E470-1</f>
        <v>0</v>
      </c>
      <c r="G471" s="14">
        <v>15107926.72217169</v>
      </c>
      <c r="H471" s="17">
        <f>G471/G470-1</f>
        <v>0</v>
      </c>
      <c r="I471" s="14">
        <f>MAX(I470,B471)</f>
        <v>0</v>
      </c>
      <c r="J471" s="17">
        <f>B471/I471-1</f>
        <v>0</v>
      </c>
    </row>
    <row r="472" spans="1:10">
      <c r="A472" s="6">
        <v>44886</v>
      </c>
      <c r="B472" s="14">
        <v>18595715.01052919</v>
      </c>
      <c r="D472" s="17">
        <f>B472/B471-1</f>
        <v>0</v>
      </c>
      <c r="E472" s="14">
        <v>13513410.21053129</v>
      </c>
      <c r="F472" s="17">
        <f>E472/E471-1</f>
        <v>0</v>
      </c>
      <c r="G472" s="14">
        <v>15109117.26488753</v>
      </c>
      <c r="H472" s="17">
        <f>G472/G471-1</f>
        <v>0</v>
      </c>
      <c r="I472" s="14">
        <f>MAX(I471,B472)</f>
        <v>0</v>
      </c>
      <c r="J472" s="17">
        <f>B472/I472-1</f>
        <v>0</v>
      </c>
    </row>
    <row r="473" spans="1:10">
      <c r="A473" s="6">
        <v>44887</v>
      </c>
      <c r="B473" s="14">
        <v>18761808.30459135</v>
      </c>
      <c r="D473" s="17">
        <f>B473/B472-1</f>
        <v>0</v>
      </c>
      <c r="E473" s="14">
        <v>13562497.98622564</v>
      </c>
      <c r="F473" s="17">
        <f>E473/E472-1</f>
        <v>0</v>
      </c>
      <c r="G473" s="14">
        <v>15128857.87419462</v>
      </c>
      <c r="H473" s="17">
        <f>G473/G472-1</f>
        <v>0</v>
      </c>
      <c r="I473" s="14">
        <f>MAX(I472,B473)</f>
        <v>0</v>
      </c>
      <c r="J473" s="17">
        <f>B473/I473-1</f>
        <v>0</v>
      </c>
    </row>
    <row r="474" spans="1:10">
      <c r="A474" s="6">
        <v>44888</v>
      </c>
      <c r="B474" s="14">
        <v>18614917.57330159</v>
      </c>
      <c r="D474" s="17">
        <f>B474/B473-1</f>
        <v>0</v>
      </c>
      <c r="E474" s="14">
        <v>13588460.20977864</v>
      </c>
      <c r="F474" s="17">
        <f>E474/E473-1</f>
        <v>0</v>
      </c>
      <c r="G474" s="14">
        <v>15177365.72286696</v>
      </c>
      <c r="H474" s="17">
        <f>G474/G473-1</f>
        <v>0</v>
      </c>
      <c r="I474" s="14">
        <f>MAX(I473,B474)</f>
        <v>0</v>
      </c>
      <c r="J474" s="17">
        <f>B474/I474-1</f>
        <v>0</v>
      </c>
    </row>
    <row r="475" spans="1:10">
      <c r="A475" s="6">
        <v>44889</v>
      </c>
      <c r="B475" s="14">
        <v>18757563.74736565</v>
      </c>
      <c r="D475" s="17">
        <f>B475/B474-1</f>
        <v>0</v>
      </c>
      <c r="E475" s="14">
        <v>13713857.38393918</v>
      </c>
      <c r="F475" s="17">
        <f>E475/E474-1</f>
        <v>0</v>
      </c>
      <c r="G475" s="14">
        <v>15273942.88166744</v>
      </c>
      <c r="H475" s="17">
        <f>G475/G474-1</f>
        <v>0</v>
      </c>
      <c r="I475" s="14">
        <f>MAX(I474,B475)</f>
        <v>0</v>
      </c>
      <c r="J475" s="17">
        <f>B475/I475-1</f>
        <v>0</v>
      </c>
    </row>
    <row r="476" spans="1:10">
      <c r="A476" s="6">
        <v>44890</v>
      </c>
      <c r="B476" s="14">
        <v>18673817.82693987</v>
      </c>
      <c r="D476" s="17">
        <f>B476/B475-1</f>
        <v>0</v>
      </c>
      <c r="E476" s="14">
        <v>13755134.07674304</v>
      </c>
      <c r="F476" s="17">
        <f>E476/E475-1</f>
        <v>0</v>
      </c>
      <c r="G476" s="14">
        <v>15378564.40448145</v>
      </c>
      <c r="H476" s="17">
        <f>G476/G475-1</f>
        <v>0</v>
      </c>
      <c r="I476" s="14">
        <f>MAX(I475,B476)</f>
        <v>0</v>
      </c>
      <c r="J476" s="17">
        <f>B476/I476-1</f>
        <v>0</v>
      </c>
    </row>
    <row r="477" spans="1:10">
      <c r="A477" s="6">
        <v>44893</v>
      </c>
      <c r="B477" s="14">
        <v>18718149.02692463</v>
      </c>
      <c r="D477" s="17">
        <f>B477/B476-1</f>
        <v>0</v>
      </c>
      <c r="E477" s="14">
        <v>13805816.66937059</v>
      </c>
      <c r="F477" s="17">
        <f>E477/E476-1</f>
        <v>0</v>
      </c>
      <c r="G477" s="14">
        <v>15478709.07557025</v>
      </c>
      <c r="H477" s="17">
        <f>G477/G476-1</f>
        <v>0</v>
      </c>
      <c r="I477" s="14">
        <f>MAX(I476,B477)</f>
        <v>0</v>
      </c>
      <c r="J477" s="17">
        <f>B477/I477-1</f>
        <v>0</v>
      </c>
    </row>
    <row r="478" spans="1:10">
      <c r="A478" s="6">
        <v>44894</v>
      </c>
      <c r="B478" s="14">
        <v>18555581.11107654</v>
      </c>
      <c r="D478" s="17">
        <f>B478/B477-1</f>
        <v>0</v>
      </c>
      <c r="E478" s="14">
        <v>13830964.19573829</v>
      </c>
      <c r="F478" s="17">
        <f>E478/E477-1</f>
        <v>0</v>
      </c>
      <c r="G478" s="14">
        <v>15463451.17557593</v>
      </c>
      <c r="H478" s="17">
        <f>G478/G477-1</f>
        <v>0</v>
      </c>
      <c r="I478" s="14">
        <f>MAX(I477,B478)</f>
        <v>0</v>
      </c>
      <c r="J478" s="17">
        <f>B478/I478-1</f>
        <v>0</v>
      </c>
    </row>
    <row r="479" spans="1:10">
      <c r="A479" s="6">
        <v>44895</v>
      </c>
      <c r="B479" s="14">
        <v>18650539.88790353</v>
      </c>
      <c r="D479" s="17">
        <f>B479/B478-1</f>
        <v>0</v>
      </c>
      <c r="E479" s="14">
        <v>13948568.80130475</v>
      </c>
      <c r="F479" s="17">
        <f>E479/E478-1</f>
        <v>0</v>
      </c>
      <c r="G479" s="14">
        <v>15592514.93287319</v>
      </c>
      <c r="H479" s="17">
        <f>G479/G478-1</f>
        <v>0</v>
      </c>
      <c r="I479" s="14">
        <f>MAX(I478,B479)</f>
        <v>0</v>
      </c>
      <c r="J479" s="17">
        <f>B479/I479-1</f>
        <v>0</v>
      </c>
    </row>
    <row r="480" spans="1:10">
      <c r="A480" s="6">
        <v>44896</v>
      </c>
      <c r="B480" s="14">
        <v>18680425.58366206</v>
      </c>
      <c r="D480" s="17">
        <f>B480/B479-1</f>
        <v>0</v>
      </c>
      <c r="E480" s="14">
        <v>13999792.21545246</v>
      </c>
      <c r="F480" s="17">
        <f>E480/E479-1</f>
        <v>0</v>
      </c>
      <c r="G480" s="14">
        <v>15671835.76416151</v>
      </c>
      <c r="H480" s="17">
        <f>G480/G479-1</f>
        <v>0</v>
      </c>
      <c r="I480" s="14">
        <f>MAX(I479,B480)</f>
        <v>0</v>
      </c>
      <c r="J480" s="17">
        <f>B480/I480-1</f>
        <v>0</v>
      </c>
    </row>
    <row r="481" spans="1:10">
      <c r="A481" s="6">
        <v>44897</v>
      </c>
      <c r="B481" s="14">
        <v>18768471.27813204</v>
      </c>
      <c r="D481" s="17">
        <f>B481/B480-1</f>
        <v>0</v>
      </c>
      <c r="E481" s="14">
        <v>13965074.2126538</v>
      </c>
      <c r="F481" s="17">
        <f>E481/E480-1</f>
        <v>0</v>
      </c>
      <c r="G481" s="14">
        <v>15741334.66066589</v>
      </c>
      <c r="H481" s="17">
        <f>G481/G480-1</f>
        <v>0</v>
      </c>
      <c r="I481" s="14">
        <f>MAX(I480,B481)</f>
        <v>0</v>
      </c>
      <c r="J481" s="17">
        <f>B481/I481-1</f>
        <v>0</v>
      </c>
    </row>
    <row r="482" spans="1:10">
      <c r="A482" s="6">
        <v>44900</v>
      </c>
      <c r="B482" s="14">
        <v>18828232.8900483</v>
      </c>
      <c r="D482" s="17">
        <f>B482/B481-1</f>
        <v>0</v>
      </c>
      <c r="E482" s="14">
        <v>13968976.19442813</v>
      </c>
      <c r="F482" s="17">
        <f>E482/E481-1</f>
        <v>0</v>
      </c>
      <c r="G482" s="14">
        <v>15778515.50498077</v>
      </c>
      <c r="H482" s="17">
        <f>G482/G481-1</f>
        <v>0</v>
      </c>
      <c r="I482" s="14">
        <f>MAX(I481,B482)</f>
        <v>0</v>
      </c>
      <c r="J482" s="17">
        <f>B482/I482-1</f>
        <v>0</v>
      </c>
    </row>
    <row r="483" spans="1:10">
      <c r="A483" s="6">
        <v>44901</v>
      </c>
      <c r="B483" s="14">
        <v>18724922.11671096</v>
      </c>
      <c r="D483" s="17">
        <f>B483/B482-1</f>
        <v>0</v>
      </c>
      <c r="E483" s="14">
        <v>13930841.07616565</v>
      </c>
      <c r="F483" s="17">
        <f>E483/E482-1</f>
        <v>0</v>
      </c>
      <c r="G483" s="14">
        <v>15727446.90942712</v>
      </c>
      <c r="H483" s="17">
        <f>G483/G482-1</f>
        <v>0</v>
      </c>
      <c r="I483" s="14">
        <f>MAX(I482,B483)</f>
        <v>0</v>
      </c>
      <c r="J483" s="17">
        <f>B483/I483-1</f>
        <v>0</v>
      </c>
    </row>
    <row r="484" spans="1:10">
      <c r="A484" s="6">
        <v>44902</v>
      </c>
      <c r="B484" s="14">
        <v>18784672.00442905</v>
      </c>
      <c r="D484" s="17">
        <f>B484/B483-1</f>
        <v>0</v>
      </c>
      <c r="E484" s="14">
        <v>13878267.3557796</v>
      </c>
      <c r="F484" s="17">
        <f>E484/E483-1</f>
        <v>0</v>
      </c>
      <c r="G484" s="14">
        <v>15675429.59494596</v>
      </c>
      <c r="H484" s="17">
        <f>G484/G483-1</f>
        <v>0</v>
      </c>
      <c r="I484" s="14">
        <f>MAX(I483,B484)</f>
        <v>0</v>
      </c>
      <c r="J484" s="17">
        <f>B484/I484-1</f>
        <v>0</v>
      </c>
    </row>
    <row r="485" spans="1:10">
      <c r="A485" s="6">
        <v>44903</v>
      </c>
      <c r="B485" s="14">
        <v>18898141.38250458</v>
      </c>
      <c r="D485" s="17">
        <f>B485/B484-1</f>
        <v>0</v>
      </c>
      <c r="E485" s="14">
        <v>13921887.34215669</v>
      </c>
      <c r="F485" s="17">
        <f>E485/E484-1</f>
        <v>0</v>
      </c>
      <c r="G485" s="14">
        <v>15717983.57038597</v>
      </c>
      <c r="H485" s="17">
        <f>G485/G484-1</f>
        <v>0</v>
      </c>
      <c r="I485" s="14">
        <f>MAX(I484,B485)</f>
        <v>0</v>
      </c>
      <c r="J485" s="17">
        <f>B485/I485-1</f>
        <v>0</v>
      </c>
    </row>
    <row r="486" spans="1:10">
      <c r="A486" s="6">
        <v>44904</v>
      </c>
      <c r="B486" s="14">
        <v>18956157.2965629</v>
      </c>
      <c r="D486" s="17">
        <f>B486/B485-1</f>
        <v>0</v>
      </c>
      <c r="E486" s="14">
        <v>13836496.38872118</v>
      </c>
      <c r="F486" s="17">
        <f>E486/E485-1</f>
        <v>0</v>
      </c>
      <c r="G486" s="14">
        <v>15586667.86053904</v>
      </c>
      <c r="H486" s="17">
        <f>G486/G485-1</f>
        <v>0</v>
      </c>
      <c r="I486" s="14">
        <f>MAX(I485,B486)</f>
        <v>0</v>
      </c>
      <c r="J486" s="17">
        <f>B486/I486-1</f>
        <v>0</v>
      </c>
    </row>
    <row r="487" spans="1:10">
      <c r="A487" s="6">
        <v>44907</v>
      </c>
      <c r="B487" s="14">
        <v>18946360.33075986</v>
      </c>
      <c r="D487" s="17">
        <f>B487/B486-1</f>
        <v>0</v>
      </c>
      <c r="E487" s="14">
        <v>13850499.34753533</v>
      </c>
      <c r="F487" s="17">
        <f>E487/E486-1</f>
        <v>0</v>
      </c>
      <c r="G487" s="14">
        <v>15630988.51993583</v>
      </c>
      <c r="H487" s="17">
        <f>G487/G486-1</f>
        <v>0</v>
      </c>
      <c r="I487" s="14">
        <f>MAX(I486,B487)</f>
        <v>0</v>
      </c>
      <c r="J487" s="17">
        <f>B487/I487-1</f>
        <v>0</v>
      </c>
    </row>
    <row r="488" spans="1:10">
      <c r="A488" s="6">
        <v>44908</v>
      </c>
      <c r="B488" s="14">
        <v>18982787.47849512</v>
      </c>
      <c r="D488" s="17">
        <f>B488/B487-1</f>
        <v>0</v>
      </c>
      <c r="E488" s="14">
        <v>13918101.22517679</v>
      </c>
      <c r="F488" s="17">
        <f>E488/E487-1</f>
        <v>0</v>
      </c>
      <c r="G488" s="14">
        <v>15694002.62567724</v>
      </c>
      <c r="H488" s="17">
        <f>G488/G487-1</f>
        <v>0</v>
      </c>
      <c r="I488" s="14">
        <f>MAX(I487,B488)</f>
        <v>0</v>
      </c>
      <c r="J488" s="17">
        <f>B488/I488-1</f>
        <v>0</v>
      </c>
    </row>
    <row r="489" spans="1:10">
      <c r="A489" s="6">
        <v>44909</v>
      </c>
      <c r="B489" s="14">
        <v>19005716.354981</v>
      </c>
      <c r="D489" s="17">
        <f>B489/B488-1</f>
        <v>0</v>
      </c>
      <c r="E489" s="14">
        <v>13970657.52418975</v>
      </c>
      <c r="F489" s="17">
        <f>E489/E488-1</f>
        <v>0</v>
      </c>
      <c r="G489" s="14">
        <v>15801112.7812022</v>
      </c>
      <c r="H489" s="17">
        <f>G489/G488-1</f>
        <v>0</v>
      </c>
      <c r="I489" s="14">
        <f>MAX(I488,B489)</f>
        <v>0</v>
      </c>
      <c r="J489" s="17">
        <f>B489/I489-1</f>
        <v>0</v>
      </c>
    </row>
    <row r="490" spans="1:10">
      <c r="A490" s="6">
        <v>44910</v>
      </c>
      <c r="B490" s="14">
        <v>18684397.1377308</v>
      </c>
      <c r="D490" s="17">
        <f>B490/B489-1</f>
        <v>0</v>
      </c>
      <c r="E490" s="14">
        <v>13813796.49126659</v>
      </c>
      <c r="F490" s="17">
        <f>E490/E489-1</f>
        <v>0</v>
      </c>
      <c r="G490" s="14">
        <v>15690158.40629208</v>
      </c>
      <c r="H490" s="17">
        <f>G490/G489-1</f>
        <v>0</v>
      </c>
      <c r="I490" s="14">
        <f>MAX(I489,B490)</f>
        <v>0</v>
      </c>
      <c r="J490" s="17">
        <f>B490/I490-1</f>
        <v>0</v>
      </c>
    </row>
    <row r="491" spans="1:10">
      <c r="A491" s="6">
        <v>44911</v>
      </c>
      <c r="B491" s="14">
        <v>18380565.84754794</v>
      </c>
      <c r="D491" s="17">
        <f>B491/B490-1</f>
        <v>0</v>
      </c>
      <c r="E491" s="14">
        <v>13685407.60932143</v>
      </c>
      <c r="F491" s="17">
        <f>E491/E490-1</f>
        <v>0</v>
      </c>
      <c r="G491" s="14">
        <v>15521522.46397555</v>
      </c>
      <c r="H491" s="17">
        <f>G491/G490-1</f>
        <v>0</v>
      </c>
      <c r="I491" s="14">
        <f>MAX(I490,B491)</f>
        <v>0</v>
      </c>
      <c r="J491" s="17">
        <f>B491/I491-1</f>
        <v>0</v>
      </c>
    </row>
    <row r="492" spans="1:10">
      <c r="A492" s="6">
        <v>44914</v>
      </c>
      <c r="B492" s="14">
        <v>18732565.99764607</v>
      </c>
      <c r="D492" s="17">
        <f>B492/B491-1</f>
        <v>0</v>
      </c>
      <c r="E492" s="14">
        <v>13790080.93432241</v>
      </c>
      <c r="F492" s="17">
        <f>E492/E491-1</f>
        <v>0</v>
      </c>
      <c r="G492" s="14">
        <v>15600395.86314364</v>
      </c>
      <c r="H492" s="17">
        <f>G492/G491-1</f>
        <v>0</v>
      </c>
      <c r="I492" s="14">
        <f>MAX(I491,B492)</f>
        <v>0</v>
      </c>
      <c r="J492" s="17">
        <f>B492/I492-1</f>
        <v>0</v>
      </c>
    </row>
    <row r="493" spans="1:10">
      <c r="A493" s="6">
        <v>44915</v>
      </c>
      <c r="B493" s="14">
        <v>18758877.44713178</v>
      </c>
      <c r="D493" s="17">
        <f>B493/B492-1</f>
        <v>0</v>
      </c>
      <c r="E493" s="14">
        <v>13765354.72540407</v>
      </c>
      <c r="F493" s="17">
        <f>E493/E492-1</f>
        <v>0</v>
      </c>
      <c r="G493" s="14">
        <v>15554816.99257853</v>
      </c>
      <c r="H493" s="17">
        <f>G493/G492-1</f>
        <v>0</v>
      </c>
      <c r="I493" s="14">
        <f>MAX(I492,B493)</f>
        <v>0</v>
      </c>
      <c r="J493" s="17">
        <f>B493/I493-1</f>
        <v>0</v>
      </c>
    </row>
    <row r="494" spans="1:10">
      <c r="A494" s="6">
        <v>44916</v>
      </c>
      <c r="B494" s="14">
        <v>18325629.66417299</v>
      </c>
      <c r="D494" s="17">
        <f>B494/B493-1</f>
        <v>0</v>
      </c>
      <c r="E494" s="14">
        <v>13592128.8574879</v>
      </c>
      <c r="F494" s="17">
        <f>E494/E493-1</f>
        <v>0</v>
      </c>
      <c r="G494" s="14">
        <v>15342125.74654458</v>
      </c>
      <c r="H494" s="17">
        <f>G494/G493-1</f>
        <v>0</v>
      </c>
      <c r="I494" s="14">
        <f>MAX(I493,B494)</f>
        <v>0</v>
      </c>
      <c r="J494" s="17">
        <f>B494/I494-1</f>
        <v>0</v>
      </c>
    </row>
    <row r="495" spans="1:10">
      <c r="A495" s="6">
        <v>44917</v>
      </c>
      <c r="B495" s="14">
        <v>18203512.33874495</v>
      </c>
      <c r="D495" s="17">
        <f>B495/B494-1</f>
        <v>0</v>
      </c>
      <c r="E495" s="14">
        <v>13508698.35999753</v>
      </c>
      <c r="F495" s="17">
        <f>E495/E494-1</f>
        <v>0</v>
      </c>
      <c r="G495" s="14">
        <v>15179579.59309019</v>
      </c>
      <c r="H495" s="17">
        <f>G495/G494-1</f>
        <v>0</v>
      </c>
      <c r="I495" s="14">
        <f>MAX(I494,B495)</f>
        <v>0</v>
      </c>
      <c r="J495" s="17">
        <f>B495/I495-1</f>
        <v>0</v>
      </c>
    </row>
    <row r="496" spans="1:10">
      <c r="A496" s="6">
        <v>44918</v>
      </c>
      <c r="B496" s="14">
        <v>17670248.64178549</v>
      </c>
      <c r="D496" s="17">
        <f>B496/B495-1</f>
        <v>0</v>
      </c>
      <c r="E496" s="14">
        <v>13171875.84916358</v>
      </c>
      <c r="F496" s="17">
        <f>E496/E495-1</f>
        <v>0</v>
      </c>
      <c r="G496" s="14">
        <v>14651596.43560706</v>
      </c>
      <c r="H496" s="17">
        <f>G496/G495-1</f>
        <v>0</v>
      </c>
      <c r="I496" s="14">
        <f>MAX(I495,B496)</f>
        <v>0</v>
      </c>
      <c r="J496" s="17">
        <f>B496/I496-1</f>
        <v>0</v>
      </c>
    </row>
    <row r="497" spans="1:10">
      <c r="A497" s="6">
        <v>44921</v>
      </c>
      <c r="B497" s="14">
        <v>18075783.01083632</v>
      </c>
      <c r="D497" s="17">
        <f>B497/B496-1</f>
        <v>0</v>
      </c>
      <c r="E497" s="14">
        <v>13171875.84916358</v>
      </c>
      <c r="F497" s="17">
        <f>E497/E496-1</f>
        <v>0</v>
      </c>
      <c r="G497" s="14">
        <v>15015225.05032871</v>
      </c>
      <c r="H497" s="17">
        <f>G497/G496-1</f>
        <v>0</v>
      </c>
      <c r="I497" s="14">
        <f>MAX(I496,B497)</f>
        <v>0</v>
      </c>
      <c r="J497" s="17">
        <f>B497/I497-1</f>
        <v>0</v>
      </c>
    </row>
    <row r="498" spans="1:10">
      <c r="A498" s="6">
        <v>44922</v>
      </c>
      <c r="B498" s="14">
        <v>18095758.24977692</v>
      </c>
      <c r="D498" s="17">
        <f>B498/B497-1</f>
        <v>0</v>
      </c>
      <c r="E498" s="14">
        <v>13498472.96219042</v>
      </c>
      <c r="F498" s="17">
        <f>E498/E497-1</f>
        <v>0</v>
      </c>
      <c r="G498" s="14">
        <v>15183927.54101409</v>
      </c>
      <c r="H498" s="17">
        <f>G498/G497-1</f>
        <v>0</v>
      </c>
      <c r="I498" s="14">
        <f>MAX(I497,B498)</f>
        <v>0</v>
      </c>
      <c r="J498" s="17">
        <f>B498/I498-1</f>
        <v>0</v>
      </c>
    </row>
    <row r="499" spans="1:10">
      <c r="A499" s="6">
        <v>44923</v>
      </c>
      <c r="B499" s="14">
        <v>18175093.29159984</v>
      </c>
      <c r="D499" s="17">
        <f>B499/B498-1</f>
        <v>0</v>
      </c>
      <c r="E499" s="14">
        <v>13511766.61883541</v>
      </c>
      <c r="F499" s="17">
        <f>E499/E498-1</f>
        <v>0</v>
      </c>
      <c r="G499" s="14">
        <v>15229466.71965045</v>
      </c>
      <c r="H499" s="17">
        <f>G499/G498-1</f>
        <v>0</v>
      </c>
      <c r="I499" s="14">
        <f>MAX(I498,B499)</f>
        <v>0</v>
      </c>
      <c r="J499" s="17">
        <f>B499/I499-1</f>
        <v>0</v>
      </c>
    </row>
    <row r="500" spans="1:10">
      <c r="A500" s="6">
        <v>44924</v>
      </c>
      <c r="B500" s="14">
        <v>18095066.91140079</v>
      </c>
      <c r="D500" s="17">
        <f>B500/B499-1</f>
        <v>0</v>
      </c>
      <c r="E500" s="14">
        <v>13558287.76799615</v>
      </c>
      <c r="F500" s="17">
        <f>E500/E499-1</f>
        <v>0</v>
      </c>
      <c r="G500" s="14">
        <v>15244145.26769266</v>
      </c>
      <c r="H500" s="17">
        <f>G500/G499-1</f>
        <v>0</v>
      </c>
      <c r="I500" s="14">
        <f>MAX(I499,B500)</f>
        <v>0</v>
      </c>
      <c r="J500" s="17">
        <f>B500/I500-1</f>
        <v>0</v>
      </c>
    </row>
    <row r="501" spans="1:10">
      <c r="A501" s="6">
        <v>44925</v>
      </c>
      <c r="B501" s="14">
        <v>18042076.74947675</v>
      </c>
      <c r="D501" s="17">
        <f>B501/B500-1</f>
        <v>0</v>
      </c>
      <c r="E501" s="14">
        <v>13527106.12706248</v>
      </c>
      <c r="F501" s="17">
        <f>E501/E500-1</f>
        <v>0</v>
      </c>
      <c r="G501" s="14">
        <v>15304280.82758063</v>
      </c>
      <c r="H501" s="17">
        <f>G501/G500-1</f>
        <v>0</v>
      </c>
      <c r="I501" s="14">
        <f>MAX(I500,B501)</f>
        <v>0</v>
      </c>
      <c r="J501" s="17">
        <f>B501/I501-1</f>
        <v>0</v>
      </c>
    </row>
    <row r="502" spans="1:10">
      <c r="A502" s="6">
        <v>44928</v>
      </c>
      <c r="B502" s="14">
        <v>18014019.04657743</v>
      </c>
      <c r="D502" s="17">
        <f>B502/B501-1</f>
        <v>0</v>
      </c>
      <c r="E502" s="14">
        <v>13593246.29130721</v>
      </c>
      <c r="F502" s="17">
        <f>E502/E501-1</f>
        <v>0</v>
      </c>
      <c r="G502" s="14">
        <v>15393207.23202494</v>
      </c>
      <c r="H502" s="17">
        <f>G502/G501-1</f>
        <v>0</v>
      </c>
      <c r="I502" s="14">
        <f>MAX(I501,B502)</f>
        <v>0</v>
      </c>
      <c r="J502" s="17">
        <f>B502/I502-1</f>
        <v>0</v>
      </c>
    </row>
    <row r="503" spans="1:10">
      <c r="A503" s="6">
        <v>44929</v>
      </c>
      <c r="B503" s="14">
        <v>18036256.17863246</v>
      </c>
      <c r="D503" s="17">
        <f>B503/B502-1</f>
        <v>0</v>
      </c>
      <c r="E503" s="14">
        <v>13623796.43919878</v>
      </c>
      <c r="F503" s="17">
        <f>E503/E502-1</f>
        <v>0</v>
      </c>
      <c r="G503" s="14">
        <v>15427492.37573014</v>
      </c>
      <c r="H503" s="17">
        <f>G503/G502-1</f>
        <v>0</v>
      </c>
      <c r="I503" s="14">
        <f>MAX(I502,B503)</f>
        <v>0</v>
      </c>
      <c r="J503" s="17">
        <f>B503/I503-1</f>
        <v>0</v>
      </c>
    </row>
    <row r="504" spans="1:10">
      <c r="A504" s="6">
        <v>44930</v>
      </c>
      <c r="B504" s="14">
        <v>17846289.27571464</v>
      </c>
      <c r="D504" s="17">
        <f>B504/B503-1</f>
        <v>0</v>
      </c>
      <c r="E504" s="14">
        <v>13480131.79102783</v>
      </c>
      <c r="F504" s="17">
        <f>E504/E503-1</f>
        <v>0</v>
      </c>
      <c r="G504" s="14">
        <v>15281562.5467849</v>
      </c>
      <c r="H504" s="17">
        <f>G504/G503-1</f>
        <v>0</v>
      </c>
      <c r="I504" s="14">
        <f>MAX(I503,B504)</f>
        <v>0</v>
      </c>
      <c r="J504" s="17">
        <f>B504/I504-1</f>
        <v>0</v>
      </c>
    </row>
    <row r="505" spans="1:10">
      <c r="A505" s="6">
        <v>44931</v>
      </c>
      <c r="B505" s="14">
        <v>18043460.41030456</v>
      </c>
      <c r="D505" s="17">
        <f>B505/B504-1</f>
        <v>0</v>
      </c>
      <c r="E505" s="14">
        <v>13474818.9003153</v>
      </c>
      <c r="F505" s="17">
        <f>E505/E504-1</f>
        <v>0</v>
      </c>
      <c r="G505" s="14">
        <v>15324886.40449569</v>
      </c>
      <c r="H505" s="17">
        <f>G505/G504-1</f>
        <v>0</v>
      </c>
      <c r="I505" s="14">
        <f>MAX(I504,B505)</f>
        <v>0</v>
      </c>
      <c r="J505" s="17">
        <f>B505/I505-1</f>
        <v>0</v>
      </c>
    </row>
    <row r="506" spans="1:10">
      <c r="A506" s="6">
        <v>44932</v>
      </c>
      <c r="B506" s="14">
        <v>17952392.36829709</v>
      </c>
      <c r="D506" s="17">
        <f>B506/B505-1</f>
        <v>0</v>
      </c>
      <c r="E506" s="14">
        <v>13375447.10924906</v>
      </c>
      <c r="F506" s="17">
        <f>E506/E505-1</f>
        <v>0</v>
      </c>
      <c r="G506" s="14">
        <v>15213544.78931011</v>
      </c>
      <c r="H506" s="17">
        <f>G506/G505-1</f>
        <v>0</v>
      </c>
      <c r="I506" s="14">
        <f>MAX(I505,B506)</f>
        <v>0</v>
      </c>
      <c r="J506" s="17">
        <f>B506/I506-1</f>
        <v>0</v>
      </c>
    </row>
    <row r="507" spans="1:10">
      <c r="A507" s="6">
        <v>44935</v>
      </c>
      <c r="B507" s="14">
        <v>18053568.90816578</v>
      </c>
      <c r="D507" s="17">
        <f>B507/B506-1</f>
        <v>0</v>
      </c>
      <c r="E507" s="14">
        <v>13532066.34969248</v>
      </c>
      <c r="F507" s="17">
        <f>E507/E506-1</f>
        <v>0</v>
      </c>
      <c r="G507" s="14">
        <v>15321972.51126397</v>
      </c>
      <c r="H507" s="17">
        <f>G507/G506-1</f>
        <v>0</v>
      </c>
      <c r="I507" s="14">
        <f>MAX(I506,B507)</f>
        <v>0</v>
      </c>
      <c r="J507" s="17">
        <f>B507/I507-1</f>
        <v>0</v>
      </c>
    </row>
    <row r="508" spans="1:10">
      <c r="A508" s="6">
        <v>44936</v>
      </c>
      <c r="B508" s="14">
        <v>17836697.04767736</v>
      </c>
      <c r="D508" s="17">
        <f>B508/B507-1</f>
        <v>0</v>
      </c>
      <c r="E508" s="14">
        <v>13423360.42277009</v>
      </c>
      <c r="F508" s="17">
        <f>E508/E507-1</f>
        <v>0</v>
      </c>
      <c r="G508" s="14">
        <v>15260819.94986589</v>
      </c>
      <c r="H508" s="17">
        <f>G508/G507-1</f>
        <v>0</v>
      </c>
      <c r="I508" s="14">
        <f>MAX(I507,B508)</f>
        <v>0</v>
      </c>
      <c r="J508" s="17">
        <f>B508/I508-1</f>
        <v>0</v>
      </c>
    </row>
    <row r="509" spans="1:10">
      <c r="A509" s="6">
        <v>44937</v>
      </c>
      <c r="B509" s="14">
        <v>17751126.46886787</v>
      </c>
      <c r="D509" s="17">
        <f>B509/B508-1</f>
        <v>0</v>
      </c>
      <c r="E509" s="14">
        <v>13403065.31889042</v>
      </c>
      <c r="F509" s="17">
        <f>E509/E508-1</f>
        <v>0</v>
      </c>
      <c r="G509" s="14">
        <v>15244025.87284513</v>
      </c>
      <c r="H509" s="17">
        <f>G509/G508-1</f>
        <v>0</v>
      </c>
      <c r="I509" s="14">
        <f>MAX(I508,B509)</f>
        <v>0</v>
      </c>
      <c r="J509" s="17">
        <f>B509/I509-1</f>
        <v>0</v>
      </c>
    </row>
    <row r="510" spans="1:10">
      <c r="A510" s="6">
        <v>44938</v>
      </c>
      <c r="B510" s="14">
        <v>17744662.06618842</v>
      </c>
      <c r="D510" s="17">
        <f>B510/B509-1</f>
        <v>0</v>
      </c>
      <c r="E510" s="14">
        <v>13384651.86347271</v>
      </c>
      <c r="F510" s="17">
        <f>E510/E509-1</f>
        <v>0</v>
      </c>
      <c r="G510" s="14">
        <v>15229403.78687956</v>
      </c>
      <c r="H510" s="17">
        <f>G510/G509-1</f>
        <v>0</v>
      </c>
      <c r="I510" s="14">
        <f>MAX(I509,B510)</f>
        <v>0</v>
      </c>
      <c r="J510" s="17">
        <f>B510/I510-1</f>
        <v>0</v>
      </c>
    </row>
    <row r="511" spans="1:10">
      <c r="A511" s="6">
        <v>44939</v>
      </c>
      <c r="B511" s="14">
        <v>17748577.03997665</v>
      </c>
      <c r="D511" s="17">
        <f>B511/B510-1</f>
        <v>0</v>
      </c>
      <c r="E511" s="14">
        <v>13443542.02056922</v>
      </c>
      <c r="F511" s="17">
        <f>E511/E510-1</f>
        <v>0</v>
      </c>
      <c r="G511" s="14">
        <v>15273149.47978249</v>
      </c>
      <c r="H511" s="17">
        <f>G511/G510-1</f>
        <v>0</v>
      </c>
      <c r="I511" s="14">
        <f>MAX(I510,B511)</f>
        <v>0</v>
      </c>
      <c r="J511" s="17">
        <f>B511/I511-1</f>
        <v>0</v>
      </c>
    </row>
    <row r="512" spans="1:10">
      <c r="A512" s="6">
        <v>44942</v>
      </c>
      <c r="B512" s="14">
        <v>17826023.99845672</v>
      </c>
      <c r="D512" s="17">
        <f>B512/B511-1</f>
        <v>0</v>
      </c>
      <c r="E512" s="14">
        <v>13408572.35221177</v>
      </c>
      <c r="F512" s="17">
        <f>E512/E511-1</f>
        <v>0</v>
      </c>
      <c r="G512" s="14">
        <v>15247883.94198756</v>
      </c>
      <c r="H512" s="17">
        <f>G512/G511-1</f>
        <v>0</v>
      </c>
      <c r="I512" s="14">
        <f>MAX(I511,B512)</f>
        <v>0</v>
      </c>
      <c r="J512" s="17">
        <f>B512/I512-1</f>
        <v>0</v>
      </c>
    </row>
    <row r="513" spans="1:10">
      <c r="A513" s="6">
        <v>44943</v>
      </c>
      <c r="B513" s="14">
        <v>17822891.65739321</v>
      </c>
      <c r="D513" s="17">
        <f>B513/B512-1</f>
        <v>0</v>
      </c>
      <c r="E513" s="14">
        <v>13488670.14079332</v>
      </c>
      <c r="F513" s="17">
        <f>E513/E512-1</f>
        <v>0</v>
      </c>
      <c r="G513" s="14">
        <v>15246392.77550253</v>
      </c>
      <c r="H513" s="17">
        <f>G513/G512-1</f>
        <v>0</v>
      </c>
      <c r="I513" s="14">
        <f>MAX(I512,B513)</f>
        <v>0</v>
      </c>
      <c r="J513" s="17">
        <f>B513/I513-1</f>
        <v>0</v>
      </c>
    </row>
    <row r="514" spans="1:10">
      <c r="A514" s="6">
        <v>44944</v>
      </c>
      <c r="B514" s="14">
        <v>17823007.81940449</v>
      </c>
      <c r="D514" s="17">
        <f>B514/B513-1</f>
        <v>0</v>
      </c>
      <c r="E514" s="14">
        <v>13550814.46261077</v>
      </c>
      <c r="F514" s="17">
        <f>E514/E513-1</f>
        <v>0</v>
      </c>
      <c r="G514" s="14">
        <v>15294860.99418204</v>
      </c>
      <c r="H514" s="17">
        <f>G514/G513-1</f>
        <v>0</v>
      </c>
      <c r="I514" s="14">
        <f>MAX(I513,B514)</f>
        <v>0</v>
      </c>
      <c r="J514" s="17">
        <f>B514/I514-1</f>
        <v>0</v>
      </c>
    </row>
    <row r="515" spans="1:10">
      <c r="A515" s="6">
        <v>44945</v>
      </c>
      <c r="B515" s="14">
        <v>17778761.91511889</v>
      </c>
      <c r="D515" s="17">
        <f>B515/B514-1</f>
        <v>0</v>
      </c>
      <c r="E515" s="14">
        <v>13510587.93905118</v>
      </c>
      <c r="F515" s="17">
        <f>E515/E514-1</f>
        <v>0</v>
      </c>
      <c r="G515" s="14">
        <v>15250057.05246964</v>
      </c>
      <c r="H515" s="17">
        <f>G515/G514-1</f>
        <v>0</v>
      </c>
      <c r="I515" s="14">
        <f>MAX(I514,B515)</f>
        <v>0</v>
      </c>
      <c r="J515" s="17">
        <f>B515/I515-1</f>
        <v>0</v>
      </c>
    </row>
    <row r="516" spans="1:10">
      <c r="A516" s="6">
        <v>44946</v>
      </c>
      <c r="B516" s="14">
        <v>17822894.82284157</v>
      </c>
      <c r="D516" s="17">
        <f>B516/B515-1</f>
        <v>0</v>
      </c>
      <c r="E516" s="14">
        <v>13448321.02567134</v>
      </c>
      <c r="F516" s="17">
        <f>E516/E515-1</f>
        <v>0</v>
      </c>
      <c r="G516" s="14">
        <v>15155448.55103024</v>
      </c>
      <c r="H516" s="17">
        <f>G516/G515-1</f>
        <v>0</v>
      </c>
      <c r="I516" s="14">
        <f>MAX(I515,B516)</f>
        <v>0</v>
      </c>
      <c r="J516" s="17">
        <f>B516/I516-1</f>
        <v>0</v>
      </c>
    </row>
    <row r="517" spans="1:10">
      <c r="A517" s="6">
        <v>44949</v>
      </c>
      <c r="B517" s="14">
        <v>17937279.82051801</v>
      </c>
      <c r="D517" s="17">
        <f>B517/B516-1</f>
        <v>0</v>
      </c>
      <c r="E517" s="14">
        <v>13497416.8788244</v>
      </c>
      <c r="F517" s="17">
        <f>E517/E516-1</f>
        <v>0</v>
      </c>
      <c r="G517" s="14">
        <v>15177591.62024912</v>
      </c>
      <c r="H517" s="17">
        <f>G517/G516-1</f>
        <v>0</v>
      </c>
      <c r="I517" s="14">
        <f>MAX(I516,B517)</f>
        <v>0</v>
      </c>
      <c r="J517" s="17">
        <f>B517/I517-1</f>
        <v>0</v>
      </c>
    </row>
    <row r="518" spans="1:10">
      <c r="A518" s="6">
        <v>44950</v>
      </c>
      <c r="B518" s="14">
        <v>17890123.26582107</v>
      </c>
      <c r="D518" s="17">
        <f>B518/B517-1</f>
        <v>0</v>
      </c>
      <c r="E518" s="14">
        <v>13485221.86319548</v>
      </c>
      <c r="F518" s="17">
        <f>E518/E517-1</f>
        <v>0</v>
      </c>
      <c r="G518" s="14">
        <v>15136613.6729582</v>
      </c>
      <c r="H518" s="17">
        <f>G518/G517-1</f>
        <v>0</v>
      </c>
      <c r="I518" s="14">
        <f>MAX(I517,B518)</f>
        <v>0</v>
      </c>
      <c r="J518" s="17">
        <f>B518/I518-1</f>
        <v>0</v>
      </c>
    </row>
    <row r="519" spans="1:10">
      <c r="A519" s="6">
        <v>44951</v>
      </c>
      <c r="B519" s="14">
        <v>17696253.6123666</v>
      </c>
      <c r="D519" s="17">
        <f>B519/B518-1</f>
        <v>0</v>
      </c>
      <c r="E519" s="14">
        <v>13296054.46178777</v>
      </c>
      <c r="F519" s="17">
        <f>E519/E518-1</f>
        <v>0</v>
      </c>
      <c r="G519" s="14">
        <v>14936443.80571635</v>
      </c>
      <c r="H519" s="17">
        <f>G519/G518-1</f>
        <v>0</v>
      </c>
      <c r="I519" s="14">
        <f>MAX(I518,B519)</f>
        <v>0</v>
      </c>
      <c r="J519" s="17">
        <f>B519/I519-1</f>
        <v>0</v>
      </c>
    </row>
    <row r="520" spans="1:10">
      <c r="A520" s="6">
        <v>44953</v>
      </c>
      <c r="B520" s="14">
        <v>17359920.37566377</v>
      </c>
      <c r="D520" s="17">
        <f>B520/B519-1</f>
        <v>0</v>
      </c>
      <c r="E520" s="14">
        <v>13036233.94557592</v>
      </c>
      <c r="F520" s="17">
        <f>E520/E519-1</f>
        <v>0</v>
      </c>
      <c r="G520" s="14">
        <v>14667022.50761565</v>
      </c>
      <c r="H520" s="17">
        <f>G520/G519-1</f>
        <v>0</v>
      </c>
      <c r="I520" s="14">
        <f>MAX(I519,B520)</f>
        <v>0</v>
      </c>
      <c r="J520" s="17">
        <f>B520/I520-1</f>
        <v>0</v>
      </c>
    </row>
    <row r="521" spans="1:10">
      <c r="A521" s="6">
        <v>44956</v>
      </c>
      <c r="B521" s="14">
        <v>17511986.9964017</v>
      </c>
      <c r="D521" s="17">
        <f>B521/B520-1</f>
        <v>0</v>
      </c>
      <c r="E521" s="14">
        <v>13018844.86558529</v>
      </c>
      <c r="F521" s="17">
        <f>E521/E520-1</f>
        <v>0</v>
      </c>
      <c r="G521" s="14">
        <v>14643425.69635632</v>
      </c>
      <c r="H521" s="17">
        <f>G521/G520-1</f>
        <v>0</v>
      </c>
      <c r="I521" s="14">
        <f>MAX(I520,B521)</f>
        <v>0</v>
      </c>
      <c r="J521" s="17">
        <f>B521/I521-1</f>
        <v>0</v>
      </c>
    </row>
    <row r="522" spans="1:10">
      <c r="A522" s="6">
        <v>44957</v>
      </c>
      <c r="B522" s="14">
        <v>17811518.38182178</v>
      </c>
      <c r="D522" s="17">
        <f>B522/B521-1</f>
        <v>0</v>
      </c>
      <c r="E522" s="14">
        <v>13090719.3736595</v>
      </c>
      <c r="F522" s="17">
        <f>E522/E521-1</f>
        <v>0</v>
      </c>
      <c r="G522" s="14">
        <v>14876561.33769926</v>
      </c>
      <c r="H522" s="17">
        <f>G522/G521-1</f>
        <v>0</v>
      </c>
      <c r="I522" s="14">
        <f>MAX(I521,B522)</f>
        <v>0</v>
      </c>
      <c r="J522" s="17">
        <f>B522/I522-1</f>
        <v>0</v>
      </c>
    </row>
    <row r="523" spans="1:10">
      <c r="A523" s="6">
        <v>44958</v>
      </c>
      <c r="B523" s="14">
        <v>17258853.66878823</v>
      </c>
      <c r="D523" s="17">
        <f>B523/B522-1</f>
        <v>0</v>
      </c>
      <c r="E523" s="14">
        <v>13014344.00780064</v>
      </c>
      <c r="F523" s="17">
        <f>E523/E522-1</f>
        <v>0</v>
      </c>
      <c r="G523" s="14">
        <v>14694857.45951221</v>
      </c>
      <c r="H523" s="17">
        <f>G523/G522-1</f>
        <v>0</v>
      </c>
      <c r="I523" s="14">
        <f>MAX(I522,B523)</f>
        <v>0</v>
      </c>
      <c r="J523" s="17">
        <f>B523/I523-1</f>
        <v>0</v>
      </c>
    </row>
    <row r="524" spans="1:10">
      <c r="A524" s="6">
        <v>44959</v>
      </c>
      <c r="B524" s="14">
        <v>17191497.68740377</v>
      </c>
      <c r="D524" s="17">
        <f>B524/B523-1</f>
        <v>0</v>
      </c>
      <c r="E524" s="14">
        <v>13007732.40318973</v>
      </c>
      <c r="F524" s="17">
        <f>E524/E523-1</f>
        <v>0</v>
      </c>
      <c r="G524" s="14">
        <v>14680253.09295283</v>
      </c>
      <c r="H524" s="17">
        <f>G524/G523-1</f>
        <v>0</v>
      </c>
      <c r="I524" s="14">
        <f>MAX(I523,B524)</f>
        <v>0</v>
      </c>
      <c r="J524" s="17">
        <f>B524/I524-1</f>
        <v>0</v>
      </c>
    </row>
    <row r="525" spans="1:10">
      <c r="A525" s="6">
        <v>44960</v>
      </c>
      <c r="B525" s="14">
        <v>17380566.75548117</v>
      </c>
      <c r="D525" s="17">
        <f>B525/B524-1</f>
        <v>0</v>
      </c>
      <c r="E525" s="14">
        <v>13116125.07768001</v>
      </c>
      <c r="F525" s="17">
        <f>E525/E524-1</f>
        <v>0</v>
      </c>
      <c r="G525" s="14">
        <v>14663214.99600495</v>
      </c>
      <c r="H525" s="17">
        <f>G525/G524-1</f>
        <v>0</v>
      </c>
      <c r="I525" s="14">
        <f>MAX(I524,B525)</f>
        <v>0</v>
      </c>
      <c r="J525" s="17">
        <f>B525/I525-1</f>
        <v>0</v>
      </c>
    </row>
    <row r="526" spans="1:10">
      <c r="A526" s="6">
        <v>44963</v>
      </c>
      <c r="B526" s="14">
        <v>17493823.84666171</v>
      </c>
      <c r="D526" s="17">
        <f>B526/B525-1</f>
        <v>0</v>
      </c>
      <c r="E526" s="14">
        <v>13092029.97601198</v>
      </c>
      <c r="F526" s="17">
        <f>E526/E525-1</f>
        <v>0</v>
      </c>
      <c r="G526" s="14">
        <v>14730980.95634858</v>
      </c>
      <c r="H526" s="17">
        <f>G526/G525-1</f>
        <v>0</v>
      </c>
      <c r="I526" s="14">
        <f>MAX(I525,B526)</f>
        <v>0</v>
      </c>
      <c r="J526" s="17">
        <f>B526/I526-1</f>
        <v>0</v>
      </c>
    </row>
    <row r="527" spans="1:10">
      <c r="A527" s="6">
        <v>44964</v>
      </c>
      <c r="B527" s="14">
        <v>17465591.69532808</v>
      </c>
      <c r="D527" s="17">
        <f>B527/B526-1</f>
        <v>0</v>
      </c>
      <c r="E527" s="14">
        <v>13064644.25223713</v>
      </c>
      <c r="F527" s="17">
        <f>E527/E526-1</f>
        <v>0</v>
      </c>
      <c r="G527" s="14">
        <v>14692040.52150488</v>
      </c>
      <c r="H527" s="17">
        <f>G527/G526-1</f>
        <v>0</v>
      </c>
      <c r="I527" s="14">
        <f>MAX(I526,B527)</f>
        <v>0</v>
      </c>
      <c r="J527" s="17">
        <f>B527/I527-1</f>
        <v>0</v>
      </c>
    </row>
    <row r="528" spans="1:10">
      <c r="A528" s="6">
        <v>44965</v>
      </c>
      <c r="B528" s="14">
        <v>17730935.47339002</v>
      </c>
      <c r="D528" s="17">
        <f>B528/B527-1</f>
        <v>0</v>
      </c>
      <c r="E528" s="14">
        <v>13175816.93547018</v>
      </c>
      <c r="F528" s="17">
        <f>E528/E527-1</f>
        <v>0</v>
      </c>
      <c r="G528" s="14">
        <v>14840300.43215004</v>
      </c>
      <c r="H528" s="17">
        <f>G528/G527-1</f>
        <v>0</v>
      </c>
      <c r="I528" s="14">
        <f>MAX(I527,B528)</f>
        <v>0</v>
      </c>
      <c r="J528" s="17">
        <f>B528/I528-1</f>
        <v>0</v>
      </c>
    </row>
    <row r="529" spans="1:10">
      <c r="A529" s="6">
        <v>44966</v>
      </c>
      <c r="B529" s="14">
        <v>17678715.06395141</v>
      </c>
      <c r="D529" s="17">
        <f>B529/B528-1</f>
        <v>0</v>
      </c>
      <c r="E529" s="14">
        <v>13178022.30475234</v>
      </c>
      <c r="F529" s="17">
        <f>E529/E528-1</f>
        <v>0</v>
      </c>
      <c r="G529" s="14">
        <v>14821735.37611867</v>
      </c>
      <c r="H529" s="17">
        <f>G529/G528-1</f>
        <v>0</v>
      </c>
      <c r="I529" s="14">
        <f>MAX(I528,B529)</f>
        <v>0</v>
      </c>
      <c r="J529" s="17">
        <f>B529/I529-1</f>
        <v>0</v>
      </c>
    </row>
    <row r="530" spans="1:10">
      <c r="A530" s="6">
        <v>44967</v>
      </c>
      <c r="B530" s="14">
        <v>17611952.84109855</v>
      </c>
      <c r="D530" s="17">
        <f>B530/B529-1</f>
        <v>0</v>
      </c>
      <c r="E530" s="14">
        <v>13166155.77950303</v>
      </c>
      <c r="F530" s="17">
        <f>E530/E529-1</f>
        <v>0</v>
      </c>
      <c r="G530" s="14">
        <v>14829773.53062866</v>
      </c>
      <c r="H530" s="17">
        <f>G530/G529-1</f>
        <v>0</v>
      </c>
      <c r="I530" s="14">
        <f>MAX(I529,B530)</f>
        <v>0</v>
      </c>
      <c r="J530" s="17">
        <f>B530/I530-1</f>
        <v>0</v>
      </c>
    </row>
    <row r="531" spans="1:10">
      <c r="A531" s="6">
        <v>44970</v>
      </c>
      <c r="B531" s="14">
        <v>17571639.82639246</v>
      </c>
      <c r="D531" s="17">
        <f>B531/B530-1</f>
        <v>0</v>
      </c>
      <c r="E531" s="14">
        <v>13065642.2134148</v>
      </c>
      <c r="F531" s="17">
        <f>E531/E530-1</f>
        <v>0</v>
      </c>
      <c r="G531" s="14">
        <v>14687345.40567849</v>
      </c>
      <c r="H531" s="17">
        <f>G531/G530-1</f>
        <v>0</v>
      </c>
      <c r="I531" s="14">
        <f>MAX(I530,B531)</f>
        <v>0</v>
      </c>
      <c r="J531" s="17">
        <f>B531/I531-1</f>
        <v>0</v>
      </c>
    </row>
    <row r="532" spans="1:10">
      <c r="A532" s="6">
        <v>44971</v>
      </c>
      <c r="B532" s="14">
        <v>17666900.12748794</v>
      </c>
      <c r="D532" s="17">
        <f>B532/B531-1</f>
        <v>0</v>
      </c>
      <c r="E532" s="14">
        <v>13126241.90647798</v>
      </c>
      <c r="F532" s="17">
        <f>E532/E531-1</f>
        <v>0</v>
      </c>
      <c r="G532" s="14">
        <v>14630453.1686312</v>
      </c>
      <c r="H532" s="17">
        <f>G532/G531-1</f>
        <v>0</v>
      </c>
      <c r="I532" s="14">
        <f>MAX(I531,B532)</f>
        <v>0</v>
      </c>
      <c r="J532" s="17">
        <f>B532/I532-1</f>
        <v>0</v>
      </c>
    </row>
    <row r="533" spans="1:10">
      <c r="A533" s="6">
        <v>44972</v>
      </c>
      <c r="B533" s="14">
        <v>17740397.94795815</v>
      </c>
      <c r="D533" s="17">
        <f>B533/B532-1</f>
        <v>0</v>
      </c>
      <c r="E533" s="14">
        <v>13188907.70278803</v>
      </c>
      <c r="F533" s="17">
        <f>E533/E532-1</f>
        <v>0</v>
      </c>
      <c r="G533" s="14">
        <v>14698009.90007764</v>
      </c>
      <c r="H533" s="17">
        <f>G533/G532-1</f>
        <v>0</v>
      </c>
      <c r="I533" s="14">
        <f>MAX(I532,B533)</f>
        <v>0</v>
      </c>
      <c r="J533" s="17">
        <f>B533/I533-1</f>
        <v>0</v>
      </c>
    </row>
    <row r="534" spans="1:10">
      <c r="A534" s="6">
        <v>44973</v>
      </c>
      <c r="B534" s="14">
        <v>17924736.78066484</v>
      </c>
      <c r="D534" s="17">
        <f>B534/B533-1</f>
        <v>0</v>
      </c>
      <c r="E534" s="14">
        <v>13228208.5650383</v>
      </c>
      <c r="F534" s="17">
        <f>E534/E533-1</f>
        <v>0</v>
      </c>
      <c r="G534" s="14">
        <v>14819801.89483255</v>
      </c>
      <c r="H534" s="17">
        <f>G534/G533-1</f>
        <v>0</v>
      </c>
      <c r="I534" s="14">
        <f>MAX(I533,B534)</f>
        <v>0</v>
      </c>
      <c r="J534" s="17">
        <f>B534/I534-1</f>
        <v>0</v>
      </c>
    </row>
    <row r="535" spans="1:10">
      <c r="A535" s="6">
        <v>44974</v>
      </c>
      <c r="B535" s="14">
        <v>17782496.05743112</v>
      </c>
      <c r="D535" s="17">
        <f>B535/B534-1</f>
        <v>0</v>
      </c>
      <c r="E535" s="14">
        <v>13158855.32170714</v>
      </c>
      <c r="F535" s="17">
        <f>E535/E534-1</f>
        <v>0</v>
      </c>
      <c r="G535" s="14">
        <v>14737227.64856178</v>
      </c>
      <c r="H535" s="17">
        <f>G535/G534-1</f>
        <v>0</v>
      </c>
      <c r="I535" s="14">
        <f>MAX(I534,B535)</f>
        <v>0</v>
      </c>
      <c r="J535" s="17">
        <f>B535/I535-1</f>
        <v>0</v>
      </c>
    </row>
    <row r="536" spans="1:10">
      <c r="A536" s="6">
        <v>44977</v>
      </c>
      <c r="B536" s="14">
        <v>17704301.97671134</v>
      </c>
      <c r="D536" s="17">
        <f>B536/B535-1</f>
        <v>0</v>
      </c>
      <c r="E536" s="14">
        <v>13102212.30345246</v>
      </c>
      <c r="F536" s="17">
        <f>E536/E535-1</f>
        <v>0</v>
      </c>
      <c r="G536" s="14">
        <v>14698549.27866361</v>
      </c>
      <c r="H536" s="17">
        <f>G536/G535-1</f>
        <v>0</v>
      </c>
      <c r="I536" s="14">
        <f>MAX(I535,B536)</f>
        <v>0</v>
      </c>
      <c r="J536" s="17">
        <f>B536/I536-1</f>
        <v>0</v>
      </c>
    </row>
    <row r="537" spans="1:10">
      <c r="A537" s="6">
        <v>44978</v>
      </c>
      <c r="B537" s="14">
        <v>17675006.33220508</v>
      </c>
      <c r="D537" s="17">
        <f>B537/B536-1</f>
        <v>0</v>
      </c>
      <c r="E537" s="14">
        <v>13081172.46728505</v>
      </c>
      <c r="F537" s="17">
        <f>E537/E536-1</f>
        <v>0</v>
      </c>
      <c r="G537" s="14">
        <v>14666641.00735369</v>
      </c>
      <c r="H537" s="17">
        <f>G537/G536-1</f>
        <v>0</v>
      </c>
      <c r="I537" s="14">
        <f>MAX(I536,B537)</f>
        <v>0</v>
      </c>
      <c r="J537" s="17">
        <f>B537/I537-1</f>
        <v>0</v>
      </c>
    </row>
    <row r="538" spans="1:10">
      <c r="A538" s="6">
        <v>44979</v>
      </c>
      <c r="B538" s="14">
        <v>17549464.54882065</v>
      </c>
      <c r="D538" s="17">
        <f>B538/B537-1</f>
        <v>0</v>
      </c>
      <c r="E538" s="14">
        <v>12895804.41003081</v>
      </c>
      <c r="F538" s="17">
        <f>E538/E537-1</f>
        <v>0</v>
      </c>
      <c r="G538" s="14">
        <v>14482084.90769999</v>
      </c>
      <c r="H538" s="17">
        <f>G538/G537-1</f>
        <v>0</v>
      </c>
      <c r="I538" s="14">
        <f>MAX(I537,B538)</f>
        <v>0</v>
      </c>
      <c r="J538" s="17">
        <f>B538/I538-1</f>
        <v>0</v>
      </c>
    </row>
    <row r="539" spans="1:10">
      <c r="A539" s="6">
        <v>44980</v>
      </c>
      <c r="B539" s="14">
        <v>17559471.33524729</v>
      </c>
      <c r="D539" s="17">
        <f>B539/B538-1</f>
        <v>0</v>
      </c>
      <c r="E539" s="14">
        <v>12865586.25315707</v>
      </c>
      <c r="F539" s="17">
        <f>E539/E538-1</f>
        <v>0</v>
      </c>
      <c r="G539" s="14">
        <v>14470966.34648362</v>
      </c>
      <c r="H539" s="17">
        <f>G539/G538-1</f>
        <v>0</v>
      </c>
      <c r="I539" s="14">
        <f>MAX(I538,B539)</f>
        <v>0</v>
      </c>
      <c r="J539" s="17">
        <f>B539/I539-1</f>
        <v>0</v>
      </c>
    </row>
    <row r="540" spans="1:10">
      <c r="A540" s="6">
        <v>44981</v>
      </c>
      <c r="B540" s="14">
        <v>17456012.52982505</v>
      </c>
      <c r="D540" s="17">
        <f>B540/B539-1</f>
        <v>0</v>
      </c>
      <c r="E540" s="14">
        <v>12834356.92639319</v>
      </c>
      <c r="F540" s="17">
        <f>E540/E539-1</f>
        <v>0</v>
      </c>
      <c r="G540" s="14">
        <v>14432240.76690263</v>
      </c>
      <c r="H540" s="17">
        <f>G540/G539-1</f>
        <v>0</v>
      </c>
      <c r="I540" s="14">
        <f>MAX(I539,B540)</f>
        <v>0</v>
      </c>
      <c r="J540" s="17">
        <f>B540/I540-1</f>
        <v>0</v>
      </c>
    </row>
    <row r="541" spans="1:10">
      <c r="A541" s="6">
        <v>44984</v>
      </c>
      <c r="B541" s="14">
        <v>17377580.51707748</v>
      </c>
      <c r="D541" s="17">
        <f>B541/B540-1</f>
        <v>0</v>
      </c>
      <c r="E541" s="14">
        <v>12763254.04705282</v>
      </c>
      <c r="F541" s="17">
        <f>E541/E540-1</f>
        <v>0</v>
      </c>
      <c r="G541" s="14">
        <v>14300065.21461472</v>
      </c>
      <c r="H541" s="17">
        <f>G541/G540-1</f>
        <v>0</v>
      </c>
      <c r="I541" s="14">
        <f>MAX(I540,B541)</f>
        <v>0</v>
      </c>
      <c r="J541" s="17">
        <f>B541/I541-1</f>
        <v>0</v>
      </c>
    </row>
    <row r="542" spans="1:10">
      <c r="A542" s="6">
        <v>44985</v>
      </c>
      <c r="B542" s="14">
        <v>17453771.44197799</v>
      </c>
      <c r="D542" s="17">
        <f>B542/B541-1</f>
        <v>0</v>
      </c>
      <c r="E542" s="14">
        <v>12737587.17477048</v>
      </c>
      <c r="F542" s="17">
        <f>E542/E541-1</f>
        <v>0</v>
      </c>
      <c r="G542" s="14">
        <v>14357750.7803041</v>
      </c>
      <c r="H542" s="17">
        <f>G542/G541-1</f>
        <v>0</v>
      </c>
      <c r="I542" s="14">
        <f>MAX(I541,B542)</f>
        <v>0</v>
      </c>
      <c r="J542" s="17">
        <f>B542/I542-1</f>
        <v>0</v>
      </c>
    </row>
    <row r="543" spans="1:10">
      <c r="A543" s="6">
        <v>44986</v>
      </c>
      <c r="B543" s="14">
        <v>17822350.32083173</v>
      </c>
      <c r="D543" s="17">
        <f>B543/B542-1</f>
        <v>0</v>
      </c>
      <c r="E543" s="14">
        <v>12866369.8099235</v>
      </c>
      <c r="F543" s="17">
        <f>E543/E542-1</f>
        <v>0</v>
      </c>
      <c r="G543" s="14">
        <v>14538645.04116437</v>
      </c>
      <c r="H543" s="17">
        <f>G543/G542-1</f>
        <v>0</v>
      </c>
      <c r="I543" s="14">
        <f>MAX(I542,B543)</f>
        <v>0</v>
      </c>
      <c r="J543" s="17">
        <f>B543/I543-1</f>
        <v>0</v>
      </c>
    </row>
    <row r="544" spans="1:10">
      <c r="A544" s="6">
        <v>44987</v>
      </c>
      <c r="B544" s="14">
        <v>17852873.63599305</v>
      </c>
      <c r="D544" s="17">
        <f>B544/B543-1</f>
        <v>0</v>
      </c>
      <c r="E544" s="14">
        <v>12798899.60907558</v>
      </c>
      <c r="F544" s="17">
        <f>E544/E543-1</f>
        <v>0</v>
      </c>
      <c r="G544" s="14">
        <v>14519265.22753772</v>
      </c>
      <c r="H544" s="17">
        <f>G544/G543-1</f>
        <v>0</v>
      </c>
      <c r="I544" s="14">
        <f>MAX(I543,B544)</f>
        <v>0</v>
      </c>
      <c r="J544" s="17">
        <f>B544/I544-1</f>
        <v>0</v>
      </c>
    </row>
    <row r="545" spans="1:10">
      <c r="A545" s="6">
        <v>44988</v>
      </c>
      <c r="B545" s="14">
        <v>18152447.47374055</v>
      </c>
      <c r="D545" s="17">
        <f>B545/B544-1</f>
        <v>0</v>
      </c>
      <c r="E545" s="14">
        <v>12964022.17765613</v>
      </c>
      <c r="F545" s="17">
        <f>E545/E544-1</f>
        <v>0</v>
      </c>
      <c r="G545" s="14">
        <v>14650171.60942514</v>
      </c>
      <c r="H545" s="17">
        <f>G545/G544-1</f>
        <v>0</v>
      </c>
      <c r="I545" s="14">
        <f>MAX(I544,B545)</f>
        <v>0</v>
      </c>
      <c r="J545" s="17">
        <f>B545/I545-1</f>
        <v>0</v>
      </c>
    </row>
    <row r="546" spans="1:10">
      <c r="A546" s="6">
        <v>44991</v>
      </c>
      <c r="B546" s="14">
        <v>18248449.97537079</v>
      </c>
      <c r="D546" s="17">
        <f>B546/B545-1</f>
        <v>0</v>
      </c>
      <c r="E546" s="14">
        <v>13057867.98334799</v>
      </c>
      <c r="F546" s="17">
        <f>E546/E545-1</f>
        <v>0</v>
      </c>
      <c r="G546" s="14">
        <v>14788635.55250942</v>
      </c>
      <c r="H546" s="17">
        <f>G546/G545-1</f>
        <v>0</v>
      </c>
      <c r="I546" s="14">
        <f>MAX(I545,B546)</f>
        <v>0</v>
      </c>
      <c r="J546" s="17">
        <f>B546/I546-1</f>
        <v>0</v>
      </c>
    </row>
    <row r="547" spans="1:10">
      <c r="A547" s="6">
        <v>44993</v>
      </c>
      <c r="B547" s="14">
        <v>18465485.11597833</v>
      </c>
      <c r="D547" s="17">
        <f>B547/B546-1</f>
        <v>0</v>
      </c>
      <c r="E547" s="14">
        <v>13094423.00641481</v>
      </c>
      <c r="F547" s="17">
        <f>E547/E546-1</f>
        <v>0</v>
      </c>
      <c r="G547" s="14">
        <v>14847228.53666057</v>
      </c>
      <c r="H547" s="17">
        <f>G547/G546-1</f>
        <v>0</v>
      </c>
      <c r="I547" s="14">
        <f>MAX(I546,B547)</f>
        <v>0</v>
      </c>
      <c r="J547" s="17">
        <f>B547/I547-1</f>
        <v>0</v>
      </c>
    </row>
    <row r="548" spans="1:10">
      <c r="A548" s="6">
        <v>44994</v>
      </c>
      <c r="B548" s="14">
        <v>18386483.62202595</v>
      </c>
      <c r="D548" s="17">
        <f>B548/B547-1</f>
        <v>0</v>
      </c>
      <c r="E548" s="14">
        <v>12991498.29464135</v>
      </c>
      <c r="F548" s="17">
        <f>E548/E547-1</f>
        <v>0</v>
      </c>
      <c r="G548" s="14">
        <v>14763624.13663449</v>
      </c>
      <c r="H548" s="17">
        <f>G548/G547-1</f>
        <v>0</v>
      </c>
      <c r="I548" s="14">
        <f>MAX(I547,B548)</f>
        <v>0</v>
      </c>
      <c r="J548" s="17">
        <f>B548/I548-1</f>
        <v>0</v>
      </c>
    </row>
    <row r="549" spans="1:10">
      <c r="A549" s="6">
        <v>44995</v>
      </c>
      <c r="B549" s="14">
        <v>18330595.3849272</v>
      </c>
      <c r="D549" s="17">
        <f>B549/B548-1</f>
        <v>0</v>
      </c>
      <c r="E549" s="14">
        <v>12883210.02208049</v>
      </c>
      <c r="F549" s="17">
        <f>E549/E548-1</f>
        <v>0</v>
      </c>
      <c r="G549" s="14">
        <v>14689155.1083664</v>
      </c>
      <c r="H549" s="17">
        <f>G549/G548-1</f>
        <v>0</v>
      </c>
      <c r="I549" s="14">
        <f>MAX(I548,B549)</f>
        <v>0</v>
      </c>
      <c r="J549" s="17">
        <f>B549/I549-1</f>
        <v>0</v>
      </c>
    </row>
    <row r="550" spans="1:10">
      <c r="A550" s="6">
        <v>44998</v>
      </c>
      <c r="B550" s="14">
        <v>18091058.87139726</v>
      </c>
      <c r="D550" s="17">
        <f>B550/B549-1</f>
        <v>0</v>
      </c>
      <c r="E550" s="14">
        <v>12686010.31076034</v>
      </c>
      <c r="F550" s="17">
        <f>E550/E549-1</f>
        <v>0</v>
      </c>
      <c r="G550" s="14">
        <v>14439855.9340278</v>
      </c>
      <c r="H550" s="17">
        <f>G550/G549-1</f>
        <v>0</v>
      </c>
      <c r="I550" s="14">
        <f>MAX(I549,B550)</f>
        <v>0</v>
      </c>
      <c r="J550" s="17">
        <f>B550/I550-1</f>
        <v>0</v>
      </c>
    </row>
    <row r="551" spans="1:10">
      <c r="A551" s="6">
        <v>44999</v>
      </c>
      <c r="B551" s="14">
        <v>17950037.00923344</v>
      </c>
      <c r="D551" s="17">
        <f>B551/B550-1</f>
        <v>0</v>
      </c>
      <c r="E551" s="14">
        <v>12602447.01666582</v>
      </c>
      <c r="F551" s="17">
        <f>E551/E550-1</f>
        <v>0</v>
      </c>
      <c r="G551" s="14">
        <v>14341595.2737959</v>
      </c>
      <c r="H551" s="17">
        <f>G551/G550-1</f>
        <v>0</v>
      </c>
      <c r="I551" s="14">
        <f>MAX(I550,B551)</f>
        <v>0</v>
      </c>
      <c r="J551" s="17">
        <f>B551/I551-1</f>
        <v>0</v>
      </c>
    </row>
    <row r="552" spans="1:10">
      <c r="A552" s="6">
        <v>45000</v>
      </c>
      <c r="B552" s="14">
        <v>17975794.27335617</v>
      </c>
      <c r="D552" s="17">
        <f>B552/B551-1</f>
        <v>0</v>
      </c>
      <c r="E552" s="14">
        <v>12569475.24710551</v>
      </c>
      <c r="F552" s="17">
        <f>E552/E551-1</f>
        <v>0</v>
      </c>
      <c r="G552" s="14">
        <v>14338628.86679131</v>
      </c>
      <c r="H552" s="17">
        <f>G552/G551-1</f>
        <v>0</v>
      </c>
      <c r="I552" s="14">
        <f>MAX(I551,B552)</f>
        <v>0</v>
      </c>
      <c r="J552" s="17">
        <f>B552/I552-1</f>
        <v>0</v>
      </c>
    </row>
    <row r="553" spans="1:10">
      <c r="A553" s="6">
        <v>45001</v>
      </c>
      <c r="B553" s="14">
        <v>17885688.94143746</v>
      </c>
      <c r="D553" s="17">
        <f>B553/B552-1</f>
        <v>0</v>
      </c>
      <c r="E553" s="14">
        <v>12578894.89177568</v>
      </c>
      <c r="F553" s="17">
        <f>E553/E552-1</f>
        <v>0</v>
      </c>
      <c r="G553" s="14">
        <v>14325571.11872541</v>
      </c>
      <c r="H553" s="17">
        <f>G553/G552-1</f>
        <v>0</v>
      </c>
      <c r="I553" s="14">
        <f>MAX(I552,B553)</f>
        <v>0</v>
      </c>
      <c r="J553" s="17">
        <f>B553/I553-1</f>
        <v>0</v>
      </c>
    </row>
    <row r="554" spans="1:10">
      <c r="A554" s="6">
        <v>45002</v>
      </c>
      <c r="B554" s="14">
        <v>17952022.14510012</v>
      </c>
      <c r="D554" s="17">
        <f>B554/B553-1</f>
        <v>0</v>
      </c>
      <c r="E554" s="14">
        <v>12658932.98063332</v>
      </c>
      <c r="F554" s="17">
        <f>E554/E553-1</f>
        <v>0</v>
      </c>
      <c r="G554" s="14">
        <v>14396391.71323577</v>
      </c>
      <c r="H554" s="17">
        <f>G554/G553-1</f>
        <v>0</v>
      </c>
      <c r="I554" s="14">
        <f>MAX(I553,B554)</f>
        <v>0</v>
      </c>
      <c r="J554" s="17">
        <f>B554/I554-1</f>
        <v>0</v>
      </c>
    </row>
    <row r="555" spans="1:10">
      <c r="A555" s="6">
        <v>45005</v>
      </c>
      <c r="B555" s="14">
        <v>17773555.16916312</v>
      </c>
      <c r="D555" s="17">
        <f>B555/B554-1</f>
        <v>0</v>
      </c>
      <c r="E555" s="14">
        <v>12568461.79810124</v>
      </c>
      <c r="F555" s="17">
        <f>E555/E554-1</f>
        <v>0</v>
      </c>
      <c r="G555" s="14">
        <v>14257892.72080345</v>
      </c>
      <c r="H555" s="17">
        <f>G555/G554-1</f>
        <v>0</v>
      </c>
      <c r="I555" s="14">
        <f>MAX(I554,B555)</f>
        <v>0</v>
      </c>
      <c r="J555" s="17">
        <f>B555/I555-1</f>
        <v>0</v>
      </c>
    </row>
    <row r="556" spans="1:10">
      <c r="A556" s="6">
        <v>45006</v>
      </c>
      <c r="B556" s="14">
        <v>17832594.63068616</v>
      </c>
      <c r="D556" s="17">
        <f>B556/B555-1</f>
        <v>0</v>
      </c>
      <c r="E556" s="14">
        <v>12651755.22671225</v>
      </c>
      <c r="F556" s="17">
        <f>E556/E555-1</f>
        <v>0</v>
      </c>
      <c r="G556" s="14">
        <v>14342963.27307262</v>
      </c>
      <c r="H556" s="17">
        <f>G556/G555-1</f>
        <v>0</v>
      </c>
      <c r="I556" s="14">
        <f>MAX(I555,B556)</f>
        <v>0</v>
      </c>
      <c r="J556" s="17">
        <f>B556/I556-1</f>
        <v>0</v>
      </c>
    </row>
    <row r="557" spans="1:10">
      <c r="A557" s="6">
        <v>45007</v>
      </c>
      <c r="B557" s="14">
        <v>17814517.65496913</v>
      </c>
      <c r="D557" s="17">
        <f>B557/B556-1</f>
        <v>0</v>
      </c>
      <c r="E557" s="14">
        <v>12695111.84659282</v>
      </c>
      <c r="F557" s="17">
        <f>E557/E556-1</f>
        <v>0</v>
      </c>
      <c r="G557" s="14">
        <v>14411271.05920049</v>
      </c>
      <c r="H557" s="17">
        <f>G557/G556-1</f>
        <v>0</v>
      </c>
      <c r="I557" s="14">
        <f>MAX(I556,B557)</f>
        <v>0</v>
      </c>
      <c r="J557" s="17">
        <f>B557/I557-1</f>
        <v>0</v>
      </c>
    </row>
    <row r="558" spans="1:10">
      <c r="A558" s="6">
        <v>45008</v>
      </c>
      <c r="B558" s="14">
        <v>17720833.17709403</v>
      </c>
      <c r="D558" s="17">
        <f>B558/B557-1</f>
        <v>0</v>
      </c>
      <c r="E558" s="14">
        <v>12646199.8288974</v>
      </c>
      <c r="F558" s="17">
        <f>E558/E557-1</f>
        <v>0</v>
      </c>
      <c r="G558" s="14">
        <v>14366610.94799357</v>
      </c>
      <c r="H558" s="17">
        <f>G558/G557-1</f>
        <v>0</v>
      </c>
      <c r="I558" s="14">
        <f>MAX(I557,B558)</f>
        <v>0</v>
      </c>
      <c r="J558" s="17">
        <f>B558/I558-1</f>
        <v>0</v>
      </c>
    </row>
    <row r="559" spans="1:10">
      <c r="A559" s="6">
        <v>45009</v>
      </c>
      <c r="B559" s="14">
        <v>17629139.64623075</v>
      </c>
      <c r="D559" s="17">
        <f>B559/B558-1</f>
        <v>0</v>
      </c>
      <c r="E559" s="14">
        <v>12537404.96138585</v>
      </c>
      <c r="F559" s="17">
        <f>E559/E558-1</f>
        <v>0</v>
      </c>
      <c r="G559" s="14">
        <v>14191581.61128962</v>
      </c>
      <c r="H559" s="17">
        <f>G559/G558-1</f>
        <v>0</v>
      </c>
      <c r="I559" s="14">
        <f>MAX(I558,B559)</f>
        <v>0</v>
      </c>
      <c r="J559" s="17">
        <f>B559/I559-1</f>
        <v>0</v>
      </c>
    </row>
    <row r="560" spans="1:10">
      <c r="A560" s="6">
        <v>45012</v>
      </c>
      <c r="B560" s="14">
        <v>17627429.32076495</v>
      </c>
      <c r="D560" s="17">
        <f>B560/B559-1</f>
        <v>0</v>
      </c>
      <c r="E560" s="14">
        <v>12523690.24650356</v>
      </c>
      <c r="F560" s="17">
        <f>E560/E559-1</f>
        <v>0</v>
      </c>
      <c r="G560" s="14">
        <v>14061644.61943733</v>
      </c>
      <c r="H560" s="17">
        <f>G560/G559-1</f>
        <v>0</v>
      </c>
      <c r="I560" s="14">
        <f>MAX(I559,B560)</f>
        <v>0</v>
      </c>
      <c r="J560" s="17">
        <f>B560/I560-1</f>
        <v>0</v>
      </c>
    </row>
    <row r="561" spans="1:10">
      <c r="A561" s="6">
        <v>45013</v>
      </c>
      <c r="B561" s="14">
        <v>17575959.64598113</v>
      </c>
      <c r="D561" s="17">
        <f>B561/B560-1</f>
        <v>0</v>
      </c>
      <c r="E561" s="14">
        <v>12479592.3600829</v>
      </c>
      <c r="F561" s="17">
        <f>E561/E560-1</f>
        <v>0</v>
      </c>
      <c r="G561" s="14">
        <v>13961853.10339806</v>
      </c>
      <c r="H561" s="17">
        <f>G561/G560-1</f>
        <v>0</v>
      </c>
      <c r="I561" s="14">
        <f>MAX(I560,B561)</f>
        <v>0</v>
      </c>
      <c r="J561" s="17">
        <f>B561/I561-1</f>
        <v>0</v>
      </c>
    </row>
    <row r="562" spans="1:10">
      <c r="A562" s="6">
        <v>45014</v>
      </c>
      <c r="B562" s="14">
        <v>17822663.75758675</v>
      </c>
      <c r="D562" s="17">
        <f>B562/B561-1</f>
        <v>0</v>
      </c>
      <c r="E562" s="14">
        <v>12597678.22092736</v>
      </c>
      <c r="F562" s="17">
        <f>E562/E561-1</f>
        <v>0</v>
      </c>
      <c r="G562" s="14">
        <v>14175990.10373141</v>
      </c>
      <c r="H562" s="17">
        <f>G562/G561-1</f>
        <v>0</v>
      </c>
      <c r="I562" s="14">
        <f>MAX(I561,B562)</f>
        <v>0</v>
      </c>
      <c r="J562" s="17">
        <f>B562/I562-1</f>
        <v>0</v>
      </c>
    </row>
    <row r="563" spans="1:10">
      <c r="A563" s="6">
        <v>45016</v>
      </c>
      <c r="B563" s="14">
        <v>17956920.51703469</v>
      </c>
      <c r="D563" s="17">
        <f>B563/B562-1</f>
        <v>0</v>
      </c>
      <c r="E563" s="14">
        <v>12784666.77833433</v>
      </c>
      <c r="F563" s="17">
        <f>E563/E562-1</f>
        <v>0</v>
      </c>
      <c r="G563" s="14">
        <v>14356017.84180928</v>
      </c>
      <c r="H563" s="17">
        <f>G563/G562-1</f>
        <v>0</v>
      </c>
      <c r="I563" s="14">
        <f>MAX(I562,B563)</f>
        <v>0</v>
      </c>
      <c r="J563" s="17">
        <f>B563/I563-1</f>
        <v>0</v>
      </c>
    </row>
    <row r="564" spans="1:10">
      <c r="A564" s="6">
        <v>45019</v>
      </c>
      <c r="B564" s="14">
        <v>17911314.92542345</v>
      </c>
      <c r="D564" s="17">
        <f>B564/B563-1</f>
        <v>0</v>
      </c>
      <c r="E564" s="14">
        <v>12824004.59523692</v>
      </c>
      <c r="F564" s="17">
        <f>E564/E563-1</f>
        <v>0</v>
      </c>
      <c r="G564" s="14">
        <v>14463938.76206565</v>
      </c>
      <c r="H564" s="17">
        <f>G564/G563-1</f>
        <v>0</v>
      </c>
      <c r="I564" s="14">
        <f>MAX(I563,B564)</f>
        <v>0</v>
      </c>
      <c r="J564" s="17">
        <f>B564/I564-1</f>
        <v>0</v>
      </c>
    </row>
    <row r="565" spans="1:10">
      <c r="A565" s="6">
        <v>45021</v>
      </c>
      <c r="B565" s="14">
        <v>17873378.578944</v>
      </c>
      <c r="D565" s="17">
        <f>B565/B564-1</f>
        <v>0</v>
      </c>
      <c r="E565" s="14">
        <v>12918982.23228841</v>
      </c>
      <c r="F565" s="17">
        <f>E565/E564-1</f>
        <v>0</v>
      </c>
      <c r="G565" s="14">
        <v>14544830.84996536</v>
      </c>
      <c r="H565" s="17">
        <f>G565/G564-1</f>
        <v>0</v>
      </c>
      <c r="I565" s="14">
        <f>MAX(I564,B565)</f>
        <v>0</v>
      </c>
      <c r="J565" s="17">
        <f>B565/I565-1</f>
        <v>0</v>
      </c>
    </row>
    <row r="566" spans="1:10">
      <c r="A566" s="6">
        <v>45022</v>
      </c>
      <c r="B566" s="14">
        <v>17960365.81227418</v>
      </c>
      <c r="D566" s="17">
        <f>B566/B565-1</f>
        <v>0</v>
      </c>
      <c r="E566" s="14">
        <v>12963335.62842892</v>
      </c>
      <c r="F566" s="17">
        <f>E566/E565-1</f>
        <v>0</v>
      </c>
      <c r="G566" s="14">
        <v>14622480.45098668</v>
      </c>
      <c r="H566" s="17">
        <f>G566/G565-1</f>
        <v>0</v>
      </c>
      <c r="I566" s="14">
        <f>MAX(I565,B566)</f>
        <v>0</v>
      </c>
      <c r="J566" s="17">
        <f>B566/I566-1</f>
        <v>0</v>
      </c>
    </row>
    <row r="567" spans="1:10">
      <c r="A567" s="6">
        <v>45026</v>
      </c>
      <c r="B567" s="14">
        <v>17995811.45327991</v>
      </c>
      <c r="D567" s="17">
        <f>B567/B566-1</f>
        <v>0</v>
      </c>
      <c r="E567" s="14">
        <v>12991487.99318925</v>
      </c>
      <c r="F567" s="17">
        <f>E567/E566-1</f>
        <v>0</v>
      </c>
      <c r="G567" s="14">
        <v>14676133.73918821</v>
      </c>
      <c r="H567" s="17">
        <f>G567/G566-1</f>
        <v>0</v>
      </c>
      <c r="I567" s="14">
        <f>MAX(I566,B567)</f>
        <v>0</v>
      </c>
      <c r="J567" s="17">
        <f>B567/I567-1</f>
        <v>0</v>
      </c>
    </row>
    <row r="568" spans="1:10">
      <c r="A568" s="6">
        <v>45027</v>
      </c>
      <c r="B568" s="14">
        <v>18102082.63360026</v>
      </c>
      <c r="D568" s="17">
        <f>B568/B567-1</f>
        <v>0</v>
      </c>
      <c r="E568" s="14">
        <v>13059477.33363231</v>
      </c>
      <c r="F568" s="17">
        <f>E568/E567-1</f>
        <v>0</v>
      </c>
      <c r="G568" s="14">
        <v>14750642.70255779</v>
      </c>
      <c r="H568" s="17">
        <f>G568/G567-1</f>
        <v>0</v>
      </c>
      <c r="I568" s="14">
        <f>MAX(I567,B568)</f>
        <v>0</v>
      </c>
      <c r="J568" s="17">
        <f>B568/I568-1</f>
        <v>0</v>
      </c>
    </row>
    <row r="569" spans="1:10">
      <c r="A569" s="6">
        <v>45028</v>
      </c>
      <c r="B569" s="14">
        <v>18029226.17770911</v>
      </c>
      <c r="D569" s="17">
        <f>B569/B568-1</f>
        <v>0</v>
      </c>
      <c r="E569" s="14">
        <v>13125364.5864028</v>
      </c>
      <c r="F569" s="17">
        <f>E569/E568-1</f>
        <v>0</v>
      </c>
      <c r="G569" s="14">
        <v>14839697.34953333</v>
      </c>
      <c r="H569" s="17">
        <f>G569/G568-1</f>
        <v>0</v>
      </c>
      <c r="I569" s="14">
        <f>MAX(I568,B569)</f>
        <v>0</v>
      </c>
      <c r="J569" s="17">
        <f>B569/I569-1</f>
        <v>0</v>
      </c>
    </row>
    <row r="570" spans="1:10">
      <c r="A570" s="6">
        <v>45029</v>
      </c>
      <c r="B570" s="14">
        <v>17989899.04862583</v>
      </c>
      <c r="D570" s="17">
        <f>B570/B569-1</f>
        <v>0</v>
      </c>
      <c r="E570" s="14">
        <v>13137146.05647305</v>
      </c>
      <c r="F570" s="17">
        <f>E570/E569-1</f>
        <v>0</v>
      </c>
      <c r="G570" s="14">
        <v>14876313.14305635</v>
      </c>
      <c r="H570" s="17">
        <f>G570/G569-1</f>
        <v>0</v>
      </c>
      <c r="I570" s="14">
        <f>MAX(I569,B570)</f>
        <v>0</v>
      </c>
      <c r="J570" s="17">
        <f>B570/I570-1</f>
        <v>0</v>
      </c>
    </row>
    <row r="571" spans="1:10">
      <c r="A571" s="6">
        <v>45033</v>
      </c>
      <c r="B571" s="14">
        <v>18034502.38343279</v>
      </c>
      <c r="D571" s="17">
        <f>B571/B570-1</f>
        <v>0</v>
      </c>
      <c r="E571" s="14">
        <v>13093890.93128616</v>
      </c>
      <c r="F571" s="17">
        <f>E571/E570-1</f>
        <v>0</v>
      </c>
      <c r="G571" s="14">
        <v>14921405.93019795</v>
      </c>
      <c r="H571" s="17">
        <f>G571/G570-1</f>
        <v>0</v>
      </c>
      <c r="I571" s="14">
        <f>MAX(I570,B571)</f>
        <v>0</v>
      </c>
      <c r="J571" s="17">
        <f>B571/I571-1</f>
        <v>0</v>
      </c>
    </row>
    <row r="572" spans="1:10">
      <c r="A572" s="6">
        <v>45034</v>
      </c>
      <c r="B572" s="14">
        <v>17966287.17114284</v>
      </c>
      <c r="D572" s="17">
        <f>B572/B571-1</f>
        <v>0</v>
      </c>
      <c r="E572" s="14">
        <v>13088101.34444576</v>
      </c>
      <c r="F572" s="17">
        <f>E572/E571-1</f>
        <v>0</v>
      </c>
      <c r="G572" s="14">
        <v>14964714.12941501</v>
      </c>
      <c r="H572" s="17">
        <f>G572/G571-1</f>
        <v>0</v>
      </c>
      <c r="I572" s="14">
        <f>MAX(I571,B572)</f>
        <v>0</v>
      </c>
      <c r="J572" s="17">
        <f>B572/I572-1</f>
        <v>0</v>
      </c>
    </row>
    <row r="573" spans="1:10">
      <c r="A573" s="6">
        <v>45035</v>
      </c>
      <c r="B573" s="14">
        <v>17936345.11958704</v>
      </c>
      <c r="D573" s="17">
        <f>B573/B572-1</f>
        <v>0</v>
      </c>
      <c r="E573" s="14">
        <v>13053494.15497298</v>
      </c>
      <c r="F573" s="17">
        <f>E573/E572-1</f>
        <v>0</v>
      </c>
      <c r="G573" s="14">
        <v>14940964.85444636</v>
      </c>
      <c r="H573" s="17">
        <f>G573/G572-1</f>
        <v>0</v>
      </c>
      <c r="I573" s="14">
        <f>MAX(I572,B573)</f>
        <v>0</v>
      </c>
      <c r="J573" s="17">
        <f>B573/I573-1</f>
        <v>0</v>
      </c>
    </row>
    <row r="574" spans="1:10">
      <c r="A574" s="6">
        <v>45036</v>
      </c>
      <c r="B574" s="14">
        <v>17955911.28412427</v>
      </c>
      <c r="D574" s="17">
        <f>B574/B573-1</f>
        <v>0</v>
      </c>
      <c r="E574" s="14">
        <v>13058376.68902272</v>
      </c>
      <c r="F574" s="17">
        <f>E574/E573-1</f>
        <v>0</v>
      </c>
      <c r="G574" s="14">
        <v>14947813.90559837</v>
      </c>
      <c r="H574" s="17">
        <f>G574/G573-1</f>
        <v>0</v>
      </c>
      <c r="I574" s="14">
        <f>MAX(I573,B574)</f>
        <v>0</v>
      </c>
      <c r="J574" s="17">
        <f>B574/I574-1</f>
        <v>0</v>
      </c>
    </row>
    <row r="575" spans="1:10">
      <c r="A575" s="6">
        <v>45037</v>
      </c>
      <c r="B575" s="14">
        <v>17921559.20904751</v>
      </c>
      <c r="D575" s="17">
        <f>B575/B574-1</f>
        <v>0</v>
      </c>
      <c r="E575" s="14">
        <v>13046125.85213283</v>
      </c>
      <c r="F575" s="17">
        <f>E575/E574-1</f>
        <v>0</v>
      </c>
      <c r="G575" s="14">
        <v>14898524.73029471</v>
      </c>
      <c r="H575" s="17">
        <f>G575/G574-1</f>
        <v>0</v>
      </c>
      <c r="I575" s="14">
        <f>MAX(I574,B575)</f>
        <v>0</v>
      </c>
      <c r="J575" s="17">
        <f>B575/I575-1</f>
        <v>0</v>
      </c>
    </row>
    <row r="576" spans="1:10">
      <c r="A576" s="6">
        <v>45040</v>
      </c>
      <c r="B576" s="14">
        <v>18034835.87330867</v>
      </c>
      <c r="D576" s="17">
        <f>B576/B575-1</f>
        <v>0</v>
      </c>
      <c r="E576" s="14">
        <v>13119723.70261635</v>
      </c>
      <c r="F576" s="17">
        <f>E576/E575-1</f>
        <v>0</v>
      </c>
      <c r="G576" s="14">
        <v>14972128.71139421</v>
      </c>
      <c r="H576" s="17">
        <f>G576/G575-1</f>
        <v>0</v>
      </c>
      <c r="I576" s="14">
        <f>MAX(I575,B576)</f>
        <v>0</v>
      </c>
      <c r="J576" s="17">
        <f>B576/I576-1</f>
        <v>0</v>
      </c>
    </row>
    <row r="577" spans="1:10">
      <c r="A577" s="6">
        <v>45041</v>
      </c>
      <c r="B577" s="14">
        <v>18185258.82484178</v>
      </c>
      <c r="D577" s="17">
        <f>B577/B576-1</f>
        <v>0</v>
      </c>
      <c r="E577" s="14">
        <v>13142800.09246519</v>
      </c>
      <c r="F577" s="17">
        <f>E577/E576-1</f>
        <v>0</v>
      </c>
      <c r="G577" s="14">
        <v>15011485.88952613</v>
      </c>
      <c r="H577" s="17">
        <f>G577/G576-1</f>
        <v>0</v>
      </c>
      <c r="I577" s="14">
        <f>MAX(I576,B577)</f>
        <v>0</v>
      </c>
      <c r="J577" s="17">
        <f>B577/I577-1</f>
        <v>0</v>
      </c>
    </row>
    <row r="578" spans="1:10">
      <c r="A578" s="6">
        <v>45042</v>
      </c>
      <c r="B578" s="14">
        <v>18317867.99389767</v>
      </c>
      <c r="D578" s="17">
        <f>B578/B577-1</f>
        <v>0</v>
      </c>
      <c r="E578" s="14">
        <v>13177434.97503112</v>
      </c>
      <c r="F578" s="17">
        <f>E578/E577-1</f>
        <v>0</v>
      </c>
      <c r="G578" s="14">
        <v>15062882.10657847</v>
      </c>
      <c r="H578" s="17">
        <f>G578/G577-1</f>
        <v>0</v>
      </c>
      <c r="I578" s="14">
        <f>MAX(I577,B578)</f>
        <v>0</v>
      </c>
      <c r="J578" s="17">
        <f>B578/I578-1</f>
        <v>0</v>
      </c>
    </row>
    <row r="579" spans="1:10">
      <c r="A579" s="6">
        <v>45043</v>
      </c>
      <c r="B579" s="14">
        <v>18382033.24429877</v>
      </c>
      <c r="D579" s="17">
        <f>B579/B578-1</f>
        <v>0</v>
      </c>
      <c r="E579" s="14">
        <v>13248939.09133239</v>
      </c>
      <c r="F579" s="17">
        <f>E579/E578-1</f>
        <v>0</v>
      </c>
      <c r="G579" s="14">
        <v>15148674.54775812</v>
      </c>
      <c r="H579" s="17">
        <f>G579/G578-1</f>
        <v>0</v>
      </c>
      <c r="I579" s="14">
        <f>MAX(I578,B579)</f>
        <v>0</v>
      </c>
      <c r="J579" s="17">
        <f>B579/I579-1</f>
        <v>0</v>
      </c>
    </row>
    <row r="580" spans="1:10">
      <c r="A580" s="6">
        <v>45044</v>
      </c>
      <c r="B580" s="14">
        <v>18541071.63474455</v>
      </c>
      <c r="D580" s="17">
        <f>B580/B579-1</f>
        <v>0</v>
      </c>
      <c r="E580" s="14">
        <v>13376566.03788371</v>
      </c>
      <c r="F580" s="17">
        <f>E580/E579-1</f>
        <v>0</v>
      </c>
      <c r="G580" s="14">
        <v>15330030.05850544</v>
      </c>
      <c r="H580" s="17">
        <f>G580/G579-1</f>
        <v>0</v>
      </c>
      <c r="I580" s="14">
        <f>MAX(I579,B580)</f>
        <v>0</v>
      </c>
      <c r="J580" s="17">
        <f>B580/I580-1</f>
        <v>0</v>
      </c>
    </row>
    <row r="581" spans="1:10">
      <c r="A581" s="6">
        <v>45048</v>
      </c>
      <c r="B581" s="14">
        <v>18688365.47400775</v>
      </c>
      <c r="D581" s="17">
        <f>B581/B580-1</f>
        <v>0</v>
      </c>
      <c r="E581" s="14">
        <v>13448570.42222266</v>
      </c>
      <c r="F581" s="17">
        <f>E581/E580-1</f>
        <v>0</v>
      </c>
      <c r="G581" s="14">
        <v>15445499.83276464</v>
      </c>
      <c r="H581" s="17">
        <f>G581/G580-1</f>
        <v>0</v>
      </c>
      <c r="I581" s="14">
        <f>MAX(I580,B581)</f>
        <v>0</v>
      </c>
      <c r="J581" s="17">
        <f>B581/I581-1</f>
        <v>0</v>
      </c>
    </row>
    <row r="582" spans="1:10">
      <c r="A582" s="6">
        <v>45049</v>
      </c>
      <c r="B582" s="14">
        <v>18772272.18723715</v>
      </c>
      <c r="D582" s="17">
        <f>B582/B581-1</f>
        <v>0</v>
      </c>
      <c r="E582" s="14">
        <v>13427808.77903768</v>
      </c>
      <c r="F582" s="17">
        <f>E582/E581-1</f>
        <v>0</v>
      </c>
      <c r="G582" s="14">
        <v>15469047.7604874</v>
      </c>
      <c r="H582" s="17">
        <f>G582/G581-1</f>
        <v>0</v>
      </c>
      <c r="I582" s="14">
        <f>MAX(I581,B582)</f>
        <v>0</v>
      </c>
      <c r="J582" s="17">
        <f>B582/I582-1</f>
        <v>0</v>
      </c>
    </row>
    <row r="583" spans="1:10">
      <c r="A583" s="6">
        <v>45050</v>
      </c>
      <c r="B583" s="14">
        <v>18785696.19752807</v>
      </c>
      <c r="D583" s="17">
        <f>B583/B582-1</f>
        <v>0</v>
      </c>
      <c r="E583" s="14">
        <v>13541925.51147034</v>
      </c>
      <c r="F583" s="17">
        <f>E583/E582-1</f>
        <v>0</v>
      </c>
      <c r="G583" s="14">
        <v>15585054.53254248</v>
      </c>
      <c r="H583" s="17">
        <f>G583/G582-1</f>
        <v>0</v>
      </c>
      <c r="I583" s="14">
        <f>MAX(I582,B583)</f>
        <v>0</v>
      </c>
      <c r="J583" s="17">
        <f>B583/I583-1</f>
        <v>0</v>
      </c>
    </row>
    <row r="584" spans="1:10">
      <c r="A584" s="6">
        <v>45051</v>
      </c>
      <c r="B584" s="14">
        <v>18838173.69033249</v>
      </c>
      <c r="D584" s="17">
        <f>B584/B583-1</f>
        <v>0</v>
      </c>
      <c r="E584" s="14">
        <v>13431020.87707676</v>
      </c>
      <c r="F584" s="17">
        <f>E584/E583-1</f>
        <v>0</v>
      </c>
      <c r="G584" s="14">
        <v>15519615.19047506</v>
      </c>
      <c r="H584" s="17">
        <f>G584/G583-1</f>
        <v>0</v>
      </c>
      <c r="I584" s="14">
        <f>MAX(I583,B584)</f>
        <v>0</v>
      </c>
      <c r="J584" s="17">
        <f>B584/I584-1</f>
        <v>0</v>
      </c>
    </row>
    <row r="585" spans="1:10">
      <c r="A585" s="6">
        <v>45054</v>
      </c>
      <c r="B585" s="14">
        <v>19052209.76824925</v>
      </c>
      <c r="D585" s="17">
        <f>B585/B584-1</f>
        <v>0</v>
      </c>
      <c r="E585" s="14">
        <v>13562202.95020236</v>
      </c>
      <c r="F585" s="17">
        <f>E585/E584-1</f>
        <v>0</v>
      </c>
      <c r="G585" s="14">
        <v>15642941.97373528</v>
      </c>
      <c r="H585" s="17">
        <f>G585/G584-1</f>
        <v>0</v>
      </c>
      <c r="I585" s="14">
        <f>MAX(I584,B585)</f>
        <v>0</v>
      </c>
      <c r="J585" s="17">
        <f>B585/I585-1</f>
        <v>0</v>
      </c>
    </row>
    <row r="586" spans="1:10">
      <c r="A586" s="6">
        <v>45055</v>
      </c>
      <c r="B586" s="14">
        <v>19043039.46035929</v>
      </c>
      <c r="D586" s="17">
        <f>B586/B585-1</f>
        <v>0</v>
      </c>
      <c r="E586" s="14">
        <v>13557134.51840302</v>
      </c>
      <c r="F586" s="17">
        <f>E586/E585-1</f>
        <v>0</v>
      </c>
      <c r="G586" s="14">
        <v>15622909.67863789</v>
      </c>
      <c r="H586" s="17">
        <f>G586/G585-1</f>
        <v>0</v>
      </c>
      <c r="I586" s="14">
        <f>MAX(I585,B586)</f>
        <v>0</v>
      </c>
      <c r="J586" s="17">
        <f>B586/I586-1</f>
        <v>0</v>
      </c>
    </row>
    <row r="587" spans="1:10">
      <c r="A587" s="6">
        <v>45056</v>
      </c>
      <c r="B587" s="14">
        <v>19155745.31419565</v>
      </c>
      <c r="D587" s="17">
        <f>B587/B586-1</f>
        <v>0</v>
      </c>
      <c r="E587" s="14">
        <v>13597737.97254216</v>
      </c>
      <c r="F587" s="17">
        <f>E587/E586-1</f>
        <v>0</v>
      </c>
      <c r="G587" s="14">
        <v>15666024.47093855</v>
      </c>
      <c r="H587" s="17">
        <f>G587/G586-1</f>
        <v>0</v>
      </c>
      <c r="I587" s="14">
        <f>MAX(I586,B587)</f>
        <v>0</v>
      </c>
      <c r="J587" s="17">
        <f>B587/I587-1</f>
        <v>0</v>
      </c>
    </row>
    <row r="588" spans="1:10">
      <c r="A588" s="6">
        <v>45057</v>
      </c>
      <c r="B588" s="14">
        <v>19331724.18194225</v>
      </c>
      <c r="D588" s="17">
        <f>B588/B587-1</f>
        <v>0</v>
      </c>
      <c r="E588" s="14">
        <v>13614211.06872595</v>
      </c>
      <c r="F588" s="17">
        <f>E588/E587-1</f>
        <v>0</v>
      </c>
      <c r="G588" s="14">
        <v>15732265.01204094</v>
      </c>
      <c r="H588" s="17">
        <f>G588/G587-1</f>
        <v>0</v>
      </c>
      <c r="I588" s="14">
        <f>MAX(I587,B588)</f>
        <v>0</v>
      </c>
      <c r="J588" s="17">
        <f>B588/I588-1</f>
        <v>0</v>
      </c>
    </row>
    <row r="589" spans="1:10">
      <c r="A589" s="6">
        <v>45058</v>
      </c>
      <c r="B589" s="14">
        <v>19387695.37203596</v>
      </c>
      <c r="D589" s="17">
        <f>B589/B588-1</f>
        <v>0</v>
      </c>
      <c r="E589" s="14">
        <v>13608968.27822257</v>
      </c>
      <c r="F589" s="17">
        <f>E589/E588-1</f>
        <v>0</v>
      </c>
      <c r="G589" s="14">
        <v>15672585.48917972</v>
      </c>
      <c r="H589" s="17">
        <f>G589/G588-1</f>
        <v>0</v>
      </c>
      <c r="I589" s="14">
        <f>MAX(I588,B589)</f>
        <v>0</v>
      </c>
      <c r="J589" s="17">
        <f>B589/I589-1</f>
        <v>0</v>
      </c>
    </row>
    <row r="590" spans="1:10">
      <c r="A590" s="6">
        <v>45061</v>
      </c>
      <c r="B590" s="14">
        <v>19424090.00563528</v>
      </c>
      <c r="D590" s="17">
        <f>B590/B589-1</f>
        <v>0</v>
      </c>
      <c r="E590" s="14">
        <v>13673232.95468345</v>
      </c>
      <c r="F590" s="17">
        <f>E590/E589-1</f>
        <v>0</v>
      </c>
      <c r="G590" s="14">
        <v>15742051.93753728</v>
      </c>
      <c r="H590" s="17">
        <f>G590/G589-1</f>
        <v>0</v>
      </c>
      <c r="I590" s="14">
        <f>MAX(I589,B590)</f>
        <v>0</v>
      </c>
      <c r="J590" s="17">
        <f>B590/I590-1</f>
        <v>0</v>
      </c>
    </row>
    <row r="591" spans="1:10">
      <c r="A591" s="6">
        <v>45062</v>
      </c>
      <c r="B591" s="14">
        <v>19506304.03377329</v>
      </c>
      <c r="D591" s="17">
        <f>B591/B590-1</f>
        <v>0</v>
      </c>
      <c r="E591" s="14">
        <v>13623498.93667722</v>
      </c>
      <c r="F591" s="17">
        <f>E591/E590-1</f>
        <v>0</v>
      </c>
      <c r="G591" s="14">
        <v>15755968.37857946</v>
      </c>
      <c r="H591" s="17">
        <f>G591/G590-1</f>
        <v>0</v>
      </c>
      <c r="I591" s="14">
        <f>MAX(I590,B591)</f>
        <v>0</v>
      </c>
      <c r="J591" s="17">
        <f>B591/I591-1</f>
        <v>0</v>
      </c>
    </row>
    <row r="592" spans="1:10">
      <c r="A592" s="6">
        <v>45063</v>
      </c>
      <c r="B592" s="14">
        <v>19549571.89180647</v>
      </c>
      <c r="D592" s="17">
        <f>B592/B591-1</f>
        <v>0</v>
      </c>
      <c r="E592" s="14">
        <v>13566064.82600649</v>
      </c>
      <c r="F592" s="17">
        <f>E592/E591-1</f>
        <v>0</v>
      </c>
      <c r="G592" s="14">
        <v>15732295.29688805</v>
      </c>
      <c r="H592" s="17">
        <f>G592/G591-1</f>
        <v>0</v>
      </c>
      <c r="I592" s="14">
        <f>MAX(I591,B592)</f>
        <v>0</v>
      </c>
      <c r="J592" s="17">
        <f>B592/I592-1</f>
        <v>0</v>
      </c>
    </row>
    <row r="593" spans="1:10">
      <c r="A593" s="6">
        <v>45064</v>
      </c>
      <c r="B593" s="14">
        <v>19354110.35415685</v>
      </c>
      <c r="D593" s="17">
        <f>B593/B592-1</f>
        <v>0</v>
      </c>
      <c r="E593" s="14">
        <v>13509769.12093003</v>
      </c>
      <c r="F593" s="17">
        <f>E593/E592-1</f>
        <v>0</v>
      </c>
      <c r="G593" s="14">
        <v>15628972.49812885</v>
      </c>
      <c r="H593" s="17">
        <f>G593/G592-1</f>
        <v>0</v>
      </c>
      <c r="I593" s="14">
        <f>MAX(I592,B593)</f>
        <v>0</v>
      </c>
      <c r="J593" s="17">
        <f>B593/I593-1</f>
        <v>0</v>
      </c>
    </row>
    <row r="594" spans="1:10">
      <c r="A594" s="6">
        <v>45065</v>
      </c>
      <c r="B594" s="14">
        <v>19275950.85757779</v>
      </c>
      <c r="D594" s="17">
        <f>B594/B593-1</f>
        <v>0</v>
      </c>
      <c r="E594" s="14">
        <v>13550823.37347945</v>
      </c>
      <c r="F594" s="17">
        <f>E594/E593-1</f>
        <v>0</v>
      </c>
      <c r="G594" s="14">
        <v>15614827.17129272</v>
      </c>
      <c r="H594" s="17">
        <f>G594/G593-1</f>
        <v>0</v>
      </c>
      <c r="I594" s="14">
        <f>MAX(I593,B594)</f>
        <v>0</v>
      </c>
      <c r="J594" s="17">
        <f>B594/I594-1</f>
        <v>0</v>
      </c>
    </row>
    <row r="595" spans="1:10">
      <c r="A595" s="6">
        <v>45068</v>
      </c>
      <c r="B595" s="14">
        <v>19254823.57886608</v>
      </c>
      <c r="D595" s="17">
        <f>B595/B594-1</f>
        <v>0</v>
      </c>
      <c r="E595" s="14">
        <v>13636295.86715318</v>
      </c>
      <c r="F595" s="17">
        <f>E595/E594-1</f>
        <v>0</v>
      </c>
      <c r="G595" s="14">
        <v>15710025.14973092</v>
      </c>
      <c r="H595" s="17">
        <f>G595/G594-1</f>
        <v>0</v>
      </c>
      <c r="I595" s="14">
        <f>MAX(I594,B595)</f>
        <v>0</v>
      </c>
      <c r="J595" s="17">
        <f>B595/I595-1</f>
        <v>0</v>
      </c>
    </row>
    <row r="596" spans="1:10">
      <c r="A596" s="6">
        <v>45069</v>
      </c>
      <c r="B596" s="14">
        <v>19339695.49715741</v>
      </c>
      <c r="D596" s="17">
        <f>B596/B595-1</f>
        <v>0</v>
      </c>
      <c r="E596" s="14">
        <v>13672786.22699715</v>
      </c>
      <c r="F596" s="17">
        <f>E596/E595-1</f>
        <v>0</v>
      </c>
      <c r="G596" s="14">
        <v>15778661.79202214</v>
      </c>
      <c r="H596" s="17">
        <f>G596/G595-1</f>
        <v>0</v>
      </c>
      <c r="I596" s="14">
        <f>MAX(I595,B596)</f>
        <v>0</v>
      </c>
      <c r="J596" s="17">
        <f>B596/I596-1</f>
        <v>0</v>
      </c>
    </row>
    <row r="597" spans="1:10">
      <c r="A597" s="6">
        <v>45070</v>
      </c>
      <c r="B597" s="14">
        <v>19317380.35974215</v>
      </c>
      <c r="D597" s="17">
        <f>B597/B596-1</f>
        <v>0</v>
      </c>
      <c r="E597" s="14">
        <v>13648105.70023349</v>
      </c>
      <c r="F597" s="17">
        <f>E597/E596-1</f>
        <v>0</v>
      </c>
      <c r="G597" s="14">
        <v>15779070.70422738</v>
      </c>
      <c r="H597" s="17">
        <f>G597/G596-1</f>
        <v>0</v>
      </c>
      <c r="I597" s="14">
        <f>MAX(I596,B597)</f>
        <v>0</v>
      </c>
      <c r="J597" s="17">
        <f>B597/I597-1</f>
        <v>0</v>
      </c>
    </row>
    <row r="598" spans="1:10">
      <c r="A598" s="6">
        <v>45071</v>
      </c>
      <c r="B598" s="14">
        <v>19546498.49947576</v>
      </c>
      <c r="D598" s="17">
        <f>B598/B597-1</f>
        <v>0</v>
      </c>
      <c r="E598" s="14">
        <v>13683324.41707065</v>
      </c>
      <c r="F598" s="17">
        <f>E598/E597-1</f>
        <v>0</v>
      </c>
      <c r="G598" s="14">
        <v>15821533.81439812</v>
      </c>
      <c r="H598" s="17">
        <f>G598/G597-1</f>
        <v>0</v>
      </c>
      <c r="I598" s="14">
        <f>MAX(I597,B598)</f>
        <v>0</v>
      </c>
      <c r="J598" s="17">
        <f>B598/I598-1</f>
        <v>0</v>
      </c>
    </row>
    <row r="599" spans="1:10">
      <c r="A599" s="6">
        <v>45072</v>
      </c>
      <c r="B599" s="14">
        <v>19786595.7638258</v>
      </c>
      <c r="D599" s="17">
        <f>B599/B598-1</f>
        <v>0</v>
      </c>
      <c r="E599" s="14">
        <v>13808447.83210955</v>
      </c>
      <c r="F599" s="17">
        <f>E599/E598-1</f>
        <v>0</v>
      </c>
      <c r="G599" s="14">
        <v>15930262.41538684</v>
      </c>
      <c r="H599" s="17">
        <f>G599/G598-1</f>
        <v>0</v>
      </c>
      <c r="I599" s="14">
        <f>MAX(I598,B599)</f>
        <v>0</v>
      </c>
      <c r="J599" s="17">
        <f>B599/I599-1</f>
        <v>0</v>
      </c>
    </row>
    <row r="600" spans="1:10">
      <c r="A600" s="6">
        <v>45075</v>
      </c>
      <c r="B600" s="14">
        <v>19915341.49047314</v>
      </c>
      <c r="D600" s="17">
        <f>B600/B599-1</f>
        <v>0</v>
      </c>
      <c r="E600" s="14">
        <v>13875610.43479981</v>
      </c>
      <c r="F600" s="17">
        <f>E600/E599-1</f>
        <v>0</v>
      </c>
      <c r="G600" s="14">
        <v>15972475.49427276</v>
      </c>
      <c r="H600" s="17">
        <f>G600/G599-1</f>
        <v>0</v>
      </c>
      <c r="I600" s="14">
        <f>MAX(I599,B600)</f>
        <v>0</v>
      </c>
      <c r="J600" s="17">
        <f>B600/I600-1</f>
        <v>0</v>
      </c>
    </row>
    <row r="601" spans="1:10">
      <c r="A601" s="6">
        <v>45076</v>
      </c>
      <c r="B601" s="14">
        <v>20058853.44775037</v>
      </c>
      <c r="D601" s="17">
        <f>B601/B600-1</f>
        <v>0</v>
      </c>
      <c r="E601" s="14">
        <v>13900112.72252337</v>
      </c>
      <c r="F601" s="17">
        <f>E601/E600-1</f>
        <v>0</v>
      </c>
      <c r="G601" s="14">
        <v>15991918.58302193</v>
      </c>
      <c r="H601" s="17">
        <f>G601/G600-1</f>
        <v>0</v>
      </c>
      <c r="I601" s="14">
        <f>MAX(I600,B601)</f>
        <v>0</v>
      </c>
      <c r="J601" s="17">
        <f>B601/I601-1</f>
        <v>0</v>
      </c>
    </row>
    <row r="602" spans="1:10">
      <c r="A602" s="6">
        <v>45077</v>
      </c>
      <c r="B602" s="14">
        <v>20110810.41202271</v>
      </c>
      <c r="D602" s="17">
        <f>B602/B601-1</f>
        <v>0</v>
      </c>
      <c r="E602" s="14">
        <v>13871697.92397426</v>
      </c>
      <c r="F602" s="17">
        <f>E602/E601-1</f>
        <v>0</v>
      </c>
      <c r="G602" s="14">
        <v>16039023.37837543</v>
      </c>
      <c r="H602" s="17">
        <f>G602/G601-1</f>
        <v>0</v>
      </c>
      <c r="I602" s="14">
        <f>MAX(I601,B602)</f>
        <v>0</v>
      </c>
      <c r="J602" s="17">
        <f>B602/I602-1</f>
        <v>0</v>
      </c>
    </row>
    <row r="603" spans="1:10">
      <c r="A603" s="6">
        <v>45078</v>
      </c>
      <c r="B603" s="14">
        <v>19870509.2691913</v>
      </c>
      <c r="D603" s="17">
        <f>B603/B602-1</f>
        <v>0</v>
      </c>
      <c r="E603" s="14">
        <v>13867034.84292557</v>
      </c>
      <c r="F603" s="17">
        <f>E603/E602-1</f>
        <v>0</v>
      </c>
      <c r="G603" s="14">
        <v>16106258.12228253</v>
      </c>
      <c r="H603" s="17">
        <f>G603/G602-1</f>
        <v>0</v>
      </c>
      <c r="I603" s="14">
        <f>MAX(I602,B603)</f>
        <v>0</v>
      </c>
      <c r="J603" s="17">
        <f>B603/I603-1</f>
        <v>0</v>
      </c>
    </row>
    <row r="604" spans="1:10">
      <c r="A604" s="6">
        <v>45079</v>
      </c>
      <c r="B604" s="14">
        <v>20032530.3979433</v>
      </c>
      <c r="D604" s="17">
        <f>B604/B603-1</f>
        <v>0</v>
      </c>
      <c r="E604" s="14">
        <v>13912437.00563485</v>
      </c>
      <c r="F604" s="17">
        <f>E604/E603-1</f>
        <v>0</v>
      </c>
      <c r="G604" s="14">
        <v>16184375.89484434</v>
      </c>
      <c r="H604" s="17">
        <f>G604/G603-1</f>
        <v>0</v>
      </c>
      <c r="I604" s="14">
        <f>MAX(I603,B604)</f>
        <v>0</v>
      </c>
      <c r="J604" s="17">
        <f>B604/I604-1</f>
        <v>0</v>
      </c>
    </row>
    <row r="605" spans="1:10">
      <c r="A605" s="6">
        <v>45082</v>
      </c>
      <c r="B605" s="14">
        <v>20161967.22274014</v>
      </c>
      <c r="D605" s="17">
        <f>B605/B604-1</f>
        <v>0</v>
      </c>
      <c r="E605" s="14">
        <v>13955598.9955135</v>
      </c>
      <c r="F605" s="17">
        <f>E605/E604-1</f>
        <v>0</v>
      </c>
      <c r="G605" s="14">
        <v>16232464.16692274</v>
      </c>
      <c r="H605" s="17">
        <f>G605/G604-1</f>
        <v>0</v>
      </c>
      <c r="I605" s="14">
        <f>MAX(I604,B605)</f>
        <v>0</v>
      </c>
      <c r="J605" s="17">
        <f>B605/I605-1</f>
        <v>0</v>
      </c>
    </row>
    <row r="606" spans="1:10">
      <c r="A606" s="6">
        <v>45083</v>
      </c>
      <c r="B606" s="14">
        <v>20384954.30466561</v>
      </c>
      <c r="D606" s="17">
        <f>B606/B605-1</f>
        <v>0</v>
      </c>
      <c r="E606" s="14">
        <v>13972894.9846776</v>
      </c>
      <c r="F606" s="17">
        <f>E606/E605-1</f>
        <v>0</v>
      </c>
      <c r="G606" s="14">
        <v>16291953.56605906</v>
      </c>
      <c r="H606" s="17">
        <f>G606/G605-1</f>
        <v>0</v>
      </c>
      <c r="I606" s="14">
        <f>MAX(I605,B606)</f>
        <v>0</v>
      </c>
      <c r="J606" s="17">
        <f>B606/I606-1</f>
        <v>0</v>
      </c>
    </row>
    <row r="607" spans="1:10">
      <c r="A607" s="6">
        <v>45084</v>
      </c>
      <c r="B607" s="14">
        <v>20517884.33301858</v>
      </c>
      <c r="D607" s="17">
        <f>B607/B606-1</f>
        <v>0</v>
      </c>
      <c r="E607" s="14">
        <v>14086463.40207867</v>
      </c>
      <c r="F607" s="17">
        <f>E607/E606-1</f>
        <v>0</v>
      </c>
      <c r="G607" s="14">
        <v>16455854.08065946</v>
      </c>
      <c r="H607" s="17">
        <f>G607/G606-1</f>
        <v>0</v>
      </c>
      <c r="I607" s="14">
        <f>MAX(I606,B607)</f>
        <v>0</v>
      </c>
      <c r="J607" s="17">
        <f>B607/I607-1</f>
        <v>0</v>
      </c>
    </row>
    <row r="608" spans="1:10">
      <c r="A608" s="6">
        <v>45085</v>
      </c>
      <c r="B608" s="14">
        <v>20476269.38507701</v>
      </c>
      <c r="D608" s="17">
        <f>B608/B607-1</f>
        <v>0</v>
      </c>
      <c r="E608" s="14">
        <v>14011758.80710319</v>
      </c>
      <c r="F608" s="17">
        <f>E608/E607-1</f>
        <v>0</v>
      </c>
      <c r="G608" s="14">
        <v>16355627.53176245</v>
      </c>
      <c r="H608" s="17">
        <f>G608/G607-1</f>
        <v>0</v>
      </c>
      <c r="I608" s="14">
        <f>MAX(I607,B608)</f>
        <v>0</v>
      </c>
      <c r="J608" s="17">
        <f>B608/I608-1</f>
        <v>0</v>
      </c>
    </row>
    <row r="609" spans="1:10">
      <c r="A609" s="6">
        <v>45086</v>
      </c>
      <c r="B609" s="14">
        <v>20617149.79408417</v>
      </c>
      <c r="D609" s="17">
        <f>B609/B608-1</f>
        <v>0</v>
      </c>
      <c r="E609" s="14">
        <v>13974011.16349921</v>
      </c>
      <c r="F609" s="17">
        <f>E609/E608-1</f>
        <v>0</v>
      </c>
      <c r="G609" s="14">
        <v>16317674.42270496</v>
      </c>
      <c r="H609" s="17">
        <f>G609/G608-1</f>
        <v>0</v>
      </c>
      <c r="I609" s="14">
        <f>MAX(I608,B609)</f>
        <v>0</v>
      </c>
      <c r="J609" s="17">
        <f>B609/I609-1</f>
        <v>0</v>
      </c>
    </row>
    <row r="610" spans="1:10">
      <c r="A610" s="6">
        <v>45089</v>
      </c>
      <c r="B610" s="14">
        <v>20648655.00182877</v>
      </c>
      <c r="D610" s="17">
        <f>B610/B609-1</f>
        <v>0</v>
      </c>
      <c r="E610" s="14">
        <v>14020178.08794673</v>
      </c>
      <c r="F610" s="17">
        <f>E610/E609-1</f>
        <v>0</v>
      </c>
      <c r="G610" s="14">
        <v>16402183.69733503</v>
      </c>
      <c r="H610" s="17">
        <f>G610/G609-1</f>
        <v>0</v>
      </c>
      <c r="I610" s="14">
        <f>MAX(I609,B610)</f>
        <v>0</v>
      </c>
      <c r="J610" s="17">
        <f>B610/I610-1</f>
        <v>0</v>
      </c>
    </row>
    <row r="611" spans="1:10">
      <c r="A611" s="6">
        <v>45090</v>
      </c>
      <c r="B611" s="14">
        <v>20863361.27179854</v>
      </c>
      <c r="D611" s="17">
        <f>B611/B610-1</f>
        <v>0</v>
      </c>
      <c r="E611" s="14">
        <v>14125673.45000906</v>
      </c>
      <c r="F611" s="17">
        <f>E611/E610-1</f>
        <v>0</v>
      </c>
      <c r="G611" s="14">
        <v>16562064.24986025</v>
      </c>
      <c r="H611" s="17">
        <f>G611/G610-1</f>
        <v>0</v>
      </c>
      <c r="I611" s="14">
        <f>MAX(I610,B611)</f>
        <v>0</v>
      </c>
      <c r="J611" s="17">
        <f>B611/I611-1</f>
        <v>0</v>
      </c>
    </row>
    <row r="612" spans="1:10">
      <c r="A612" s="6">
        <v>45091</v>
      </c>
      <c r="B612" s="14">
        <v>21010412.78954523</v>
      </c>
      <c r="D612" s="17">
        <f>B612/B611-1</f>
        <v>0</v>
      </c>
      <c r="E612" s="14">
        <v>14157901.03371496</v>
      </c>
      <c r="F612" s="17">
        <f>E612/E611-1</f>
        <v>0</v>
      </c>
      <c r="G612" s="14">
        <v>16639768.54035766</v>
      </c>
      <c r="H612" s="17">
        <f>G612/G611-1</f>
        <v>0</v>
      </c>
      <c r="I612" s="14">
        <f>MAX(I611,B612)</f>
        <v>0</v>
      </c>
      <c r="J612" s="17">
        <f>B612/I612-1</f>
        <v>0</v>
      </c>
    </row>
    <row r="613" spans="1:10">
      <c r="A613" s="6">
        <v>45092</v>
      </c>
      <c r="B613" s="14">
        <v>20954928.63886224</v>
      </c>
      <c r="D613" s="17">
        <f>B613/B612-1</f>
        <v>0</v>
      </c>
      <c r="E613" s="14">
        <v>14135865.07583366</v>
      </c>
      <c r="F613" s="17">
        <f>E613/E612-1</f>
        <v>0</v>
      </c>
      <c r="G613" s="14">
        <v>16642506.59172153</v>
      </c>
      <c r="H613" s="17">
        <f>G613/G612-1</f>
        <v>0</v>
      </c>
      <c r="I613" s="14">
        <f>MAX(I612,B613)</f>
        <v>0</v>
      </c>
      <c r="J613" s="17">
        <f>B613/I613-1</f>
        <v>0</v>
      </c>
    </row>
    <row r="614" spans="1:10">
      <c r="A614" s="6">
        <v>45093</v>
      </c>
      <c r="B614" s="14">
        <v>21148360.40142286</v>
      </c>
      <c r="D614" s="17">
        <f>B614/B613-1</f>
        <v>0</v>
      </c>
      <c r="E614" s="14">
        <v>14244989.71465582</v>
      </c>
      <c r="F614" s="17">
        <f>E614/E613-1</f>
        <v>0</v>
      </c>
      <c r="G614" s="14">
        <v>16773522.15532656</v>
      </c>
      <c r="H614" s="17">
        <f>G614/G613-1</f>
        <v>0</v>
      </c>
      <c r="I614" s="14">
        <f>MAX(I613,B614)</f>
        <v>0</v>
      </c>
      <c r="J614" s="17">
        <f>B614/I614-1</f>
        <v>0</v>
      </c>
    </row>
    <row r="615" spans="1:10">
      <c r="A615" s="6">
        <v>45096</v>
      </c>
      <c r="B615" s="14">
        <v>21107024.29017132</v>
      </c>
      <c r="D615" s="17">
        <f>B615/B614-1</f>
        <v>0</v>
      </c>
      <c r="E615" s="14">
        <v>14211071.31440041</v>
      </c>
      <c r="F615" s="17">
        <f>E615/E614-1</f>
        <v>0</v>
      </c>
      <c r="G615" s="14">
        <v>16788069.13207743</v>
      </c>
      <c r="H615" s="17">
        <f>G615/G614-1</f>
        <v>0</v>
      </c>
      <c r="I615" s="14">
        <f>MAX(I614,B615)</f>
        <v>0</v>
      </c>
      <c r="J615" s="17">
        <f>B615/I615-1</f>
        <v>0</v>
      </c>
    </row>
    <row r="616" spans="1:10">
      <c r="A616" s="6">
        <v>45097</v>
      </c>
      <c r="B616" s="14">
        <v>21150500.42773563</v>
      </c>
      <c r="D616" s="17">
        <f>B616/B615-1</f>
        <v>0</v>
      </c>
      <c r="E616" s="14">
        <v>14262633.26896162</v>
      </c>
      <c r="F616" s="17">
        <f>E616/E615-1</f>
        <v>0</v>
      </c>
      <c r="G616" s="14">
        <v>16863486.89522491</v>
      </c>
      <c r="H616" s="17">
        <f>G616/G615-1</f>
        <v>0</v>
      </c>
      <c r="I616" s="14">
        <f>MAX(I615,B616)</f>
        <v>0</v>
      </c>
      <c r="J616" s="17">
        <f>B616/I616-1</f>
        <v>0</v>
      </c>
    </row>
    <row r="617" spans="1:10">
      <c r="A617" s="6">
        <v>45098</v>
      </c>
      <c r="B617" s="14">
        <v>21073502.46665023</v>
      </c>
      <c r="D617" s="17">
        <f>B617/B616-1</f>
        <v>0</v>
      </c>
      <c r="E617" s="14">
        <v>14299409.34085234</v>
      </c>
      <c r="F617" s="17">
        <f>E617/E616-1</f>
        <v>0</v>
      </c>
      <c r="G617" s="14">
        <v>16908229.50915225</v>
      </c>
      <c r="H617" s="17">
        <f>G617/G616-1</f>
        <v>0</v>
      </c>
      <c r="I617" s="14">
        <f>MAX(I616,B617)</f>
        <v>0</v>
      </c>
      <c r="J617" s="17">
        <f>B617/I617-1</f>
        <v>0</v>
      </c>
    </row>
    <row r="618" spans="1:10">
      <c r="A618" s="6">
        <v>45099</v>
      </c>
      <c r="B618" s="14">
        <v>20812297.62090217</v>
      </c>
      <c r="D618" s="17">
        <f>B618/B617-1</f>
        <v>0</v>
      </c>
      <c r="E618" s="14">
        <v>14211912.45445083</v>
      </c>
      <c r="F618" s="17">
        <f>E618/E617-1</f>
        <v>0</v>
      </c>
      <c r="G618" s="14">
        <v>16771861.60593143</v>
      </c>
      <c r="H618" s="17">
        <f>G618/G617-1</f>
        <v>0</v>
      </c>
      <c r="I618" s="14">
        <f>MAX(I617,B618)</f>
        <v>0</v>
      </c>
      <c r="J618" s="17">
        <f>B618/I618-1</f>
        <v>0</v>
      </c>
    </row>
    <row r="619" spans="1:10">
      <c r="A619" s="6">
        <v>45100</v>
      </c>
      <c r="B619" s="14">
        <v>20638398.86297132</v>
      </c>
      <c r="D619" s="17">
        <f>B619/B618-1</f>
        <v>0</v>
      </c>
      <c r="E619" s="14">
        <v>14099005.20589162</v>
      </c>
      <c r="F619" s="17">
        <f>E619/E618-1</f>
        <v>0</v>
      </c>
      <c r="G619" s="14">
        <v>16586638.93338156</v>
      </c>
      <c r="H619" s="17">
        <f>G619/G618-1</f>
        <v>0</v>
      </c>
      <c r="I619" s="14">
        <f>MAX(I618,B619)</f>
        <v>0</v>
      </c>
      <c r="J619" s="17">
        <f>B619/I619-1</f>
        <v>0</v>
      </c>
    </row>
    <row r="620" spans="1:10">
      <c r="A620" s="6">
        <v>45103</v>
      </c>
      <c r="B620" s="14">
        <v>20774850.83724347</v>
      </c>
      <c r="D620" s="17">
        <f>B620/B619-1</f>
        <v>0</v>
      </c>
      <c r="E620" s="14">
        <v>14147534.36719303</v>
      </c>
      <c r="F620" s="17">
        <f>E620/E619-1</f>
        <v>0</v>
      </c>
      <c r="G620" s="14">
        <v>16700256.3523426</v>
      </c>
      <c r="H620" s="17">
        <f>G620/G619-1</f>
        <v>0</v>
      </c>
      <c r="I620" s="14">
        <f>MAX(I619,B620)</f>
        <v>0</v>
      </c>
      <c r="J620" s="17">
        <f>B620/I620-1</f>
        <v>0</v>
      </c>
    </row>
    <row r="621" spans="1:10">
      <c r="A621" s="6">
        <v>45104</v>
      </c>
      <c r="B621" s="14">
        <v>20808717.59223421</v>
      </c>
      <c r="D621" s="17">
        <f>B621/B620-1</f>
        <v>0</v>
      </c>
      <c r="E621" s="14">
        <v>14233932.2004833</v>
      </c>
      <c r="F621" s="17">
        <f>E621/E620-1</f>
        <v>0</v>
      </c>
      <c r="G621" s="14">
        <v>16795989.18401404</v>
      </c>
      <c r="H621" s="17">
        <f>G621/G620-1</f>
        <v>0</v>
      </c>
      <c r="I621" s="14">
        <f>MAX(I620,B621)</f>
        <v>0</v>
      </c>
      <c r="J621" s="17">
        <f>B621/I621-1</f>
        <v>0</v>
      </c>
    </row>
    <row r="622" spans="1:10">
      <c r="A622" s="6">
        <v>45105</v>
      </c>
      <c r="B622" s="14">
        <v>21055419.43767379</v>
      </c>
      <c r="D622" s="17">
        <f>B622/B621-1</f>
        <v>0</v>
      </c>
      <c r="E622" s="14">
        <v>14334736.88964798</v>
      </c>
      <c r="F622" s="17">
        <f>E622/E621-1</f>
        <v>0</v>
      </c>
      <c r="G622" s="14">
        <v>16862530.31280131</v>
      </c>
      <c r="H622" s="17">
        <f>G622/G621-1</f>
        <v>0</v>
      </c>
      <c r="I622" s="14">
        <f>MAX(I621,B622)</f>
        <v>0</v>
      </c>
      <c r="J622" s="17">
        <f>B622/I622-1</f>
        <v>0</v>
      </c>
    </row>
    <row r="623" spans="1:10">
      <c r="A623" s="6">
        <v>45107</v>
      </c>
      <c r="B623" s="14">
        <v>21270662.02993942</v>
      </c>
      <c r="D623" s="17">
        <f>B623/B622-1</f>
        <v>0</v>
      </c>
      <c r="E623" s="14">
        <v>14469984.71442905</v>
      </c>
      <c r="F623" s="17">
        <f>E623/E622-1</f>
        <v>0</v>
      </c>
      <c r="G623" s="14">
        <v>16983995.63455096</v>
      </c>
      <c r="H623" s="17">
        <f>G623/G622-1</f>
        <v>0</v>
      </c>
      <c r="I623" s="14">
        <f>MAX(I622,B623)</f>
        <v>0</v>
      </c>
      <c r="J623" s="17">
        <f>B623/I623-1</f>
        <v>0</v>
      </c>
    </row>
    <row r="624" spans="1:10">
      <c r="A624" s="6">
        <v>45110</v>
      </c>
      <c r="B624" s="14">
        <v>21271850.80741725</v>
      </c>
      <c r="D624" s="17">
        <f>B624/B623-1</f>
        <v>0</v>
      </c>
      <c r="E624" s="14">
        <v>14556938.13734595</v>
      </c>
      <c r="F624" s="17">
        <f>E624/E623-1</f>
        <v>0</v>
      </c>
      <c r="G624" s="14">
        <v>17068294.08729712</v>
      </c>
      <c r="H624" s="17">
        <f>G624/G623-1</f>
        <v>0</v>
      </c>
      <c r="I624" s="14">
        <f>MAX(I623,B624)</f>
        <v>0</v>
      </c>
      <c r="J624" s="17">
        <f>B624/I624-1</f>
        <v>0</v>
      </c>
    </row>
    <row r="625" spans="1:10">
      <c r="A625" s="6">
        <v>45111</v>
      </c>
      <c r="B625" s="14">
        <v>21144021.55335597</v>
      </c>
      <c r="D625" s="17">
        <f>B625/B624-1</f>
        <v>0</v>
      </c>
      <c r="E625" s="14">
        <v>14582381.68570214</v>
      </c>
      <c r="F625" s="17">
        <f>E625/E624-1</f>
        <v>0</v>
      </c>
      <c r="G625" s="14">
        <v>17070259.08783305</v>
      </c>
      <c r="H625" s="17">
        <f>G625/G624-1</f>
        <v>0</v>
      </c>
      <c r="I625" s="14">
        <f>MAX(I624,B625)</f>
        <v>0</v>
      </c>
      <c r="J625" s="17">
        <f>B625/I625-1</f>
        <v>0</v>
      </c>
    </row>
    <row r="626" spans="1:10">
      <c r="A626" s="6">
        <v>45112</v>
      </c>
      <c r="B626" s="14">
        <v>21331570.36920668</v>
      </c>
      <c r="D626" s="17">
        <f>B626/B625-1</f>
        <v>0</v>
      </c>
      <c r="E626" s="14">
        <v>14619319.16171614</v>
      </c>
      <c r="F626" s="17">
        <f>E626/E625-1</f>
        <v>0</v>
      </c>
      <c r="G626" s="14">
        <v>17191796.27009683</v>
      </c>
      <c r="H626" s="17">
        <f>G626/G625-1</f>
        <v>0</v>
      </c>
      <c r="I626" s="14">
        <f>MAX(I625,B626)</f>
        <v>0</v>
      </c>
      <c r="J626" s="17">
        <f>B626/I626-1</f>
        <v>0</v>
      </c>
    </row>
    <row r="627" spans="1:10">
      <c r="A627" s="6">
        <v>45113</v>
      </c>
      <c r="B627" s="14">
        <v>21408631.86257795</v>
      </c>
      <c r="D627" s="17">
        <f>B627/B626-1</f>
        <v>0</v>
      </c>
      <c r="E627" s="14">
        <v>14706205.95975872</v>
      </c>
      <c r="F627" s="17">
        <f>E627/E626-1</f>
        <v>0</v>
      </c>
      <c r="G627" s="14">
        <v>17309005.32503157</v>
      </c>
      <c r="H627" s="17">
        <f>G627/G626-1</f>
        <v>0</v>
      </c>
      <c r="I627" s="14">
        <f>MAX(I626,B627)</f>
        <v>0</v>
      </c>
      <c r="J627" s="17">
        <f>B627/I627-1</f>
        <v>0</v>
      </c>
    </row>
    <row r="628" spans="1:10">
      <c r="A628" s="6">
        <v>45114</v>
      </c>
      <c r="B628" s="14">
        <v>21292601.81309737</v>
      </c>
      <c r="D628" s="17">
        <f>B628/B627-1</f>
        <v>0</v>
      </c>
      <c r="E628" s="14">
        <v>14592260.39553732</v>
      </c>
      <c r="F628" s="17">
        <f>E628/E627-1</f>
        <v>0</v>
      </c>
      <c r="G628" s="14">
        <v>17203801.20081478</v>
      </c>
      <c r="H628" s="17">
        <f>G628/G627-1</f>
        <v>0</v>
      </c>
      <c r="I628" s="14">
        <f>MAX(I627,B628)</f>
        <v>0</v>
      </c>
      <c r="J628" s="17">
        <f>B628/I628-1</f>
        <v>0</v>
      </c>
    </row>
    <row r="629" spans="1:10">
      <c r="A629" s="6">
        <v>45117</v>
      </c>
      <c r="B629" s="14">
        <v>21281014.82643897</v>
      </c>
      <c r="D629" s="17">
        <f>B629/B628-1</f>
        <v>0</v>
      </c>
      <c r="E629" s="14">
        <v>14583132.72466771</v>
      </c>
      <c r="F629" s="17">
        <f>E629/E628-1</f>
        <v>0</v>
      </c>
      <c r="G629" s="14">
        <v>17131666.14946581</v>
      </c>
      <c r="H629" s="17">
        <f>G629/G628-1</f>
        <v>0</v>
      </c>
      <c r="I629" s="14">
        <f>MAX(I628,B629)</f>
        <v>0</v>
      </c>
      <c r="J629" s="17">
        <f>B629/I629-1</f>
        <v>0</v>
      </c>
    </row>
    <row r="630" spans="1:10">
      <c r="A630" s="6">
        <v>45118</v>
      </c>
      <c r="B630" s="14">
        <v>21829278.19195586</v>
      </c>
      <c r="D630" s="17">
        <f>B630/B629-1</f>
        <v>0</v>
      </c>
      <c r="E630" s="14">
        <v>14666857.3043483</v>
      </c>
      <c r="F630" s="17">
        <f>E630/E629-1</f>
        <v>0</v>
      </c>
      <c r="G630" s="14">
        <v>17262516.61345258</v>
      </c>
      <c r="H630" s="17">
        <f>G630/G629-1</f>
        <v>0</v>
      </c>
      <c r="I630" s="14">
        <f>MAX(I629,B630)</f>
        <v>0</v>
      </c>
      <c r="J630" s="17">
        <f>B630/I630-1</f>
        <v>0</v>
      </c>
    </row>
    <row r="631" spans="1:10">
      <c r="A631" s="6">
        <v>45119</v>
      </c>
      <c r="B631" s="14">
        <v>21920706.99407848</v>
      </c>
      <c r="D631" s="17">
        <f>B631/B630-1</f>
        <v>0</v>
      </c>
      <c r="E631" s="14">
        <v>14661433.47721895</v>
      </c>
      <c r="F631" s="17">
        <f>E631/E630-1</f>
        <v>0</v>
      </c>
      <c r="G631" s="14">
        <v>17327022.57357956</v>
      </c>
      <c r="H631" s="17">
        <f>G631/G630-1</f>
        <v>0</v>
      </c>
      <c r="I631" s="14">
        <f>MAX(I630,B631)</f>
        <v>0</v>
      </c>
      <c r="J631" s="17">
        <f>B631/I631-1</f>
        <v>0</v>
      </c>
    </row>
    <row r="632" spans="1:10">
      <c r="A632" s="6">
        <v>45120</v>
      </c>
      <c r="B632" s="14">
        <v>21775263.73356545</v>
      </c>
      <c r="D632" s="17">
        <f>B632/B631-1</f>
        <v>0</v>
      </c>
      <c r="E632" s="14">
        <v>14647021.45840053</v>
      </c>
      <c r="F632" s="17">
        <f>E632/E631-1</f>
        <v>0</v>
      </c>
      <c r="G632" s="14">
        <v>17244036.008916</v>
      </c>
      <c r="H632" s="17">
        <f>G632/G631-1</f>
        <v>0</v>
      </c>
      <c r="I632" s="14">
        <f>MAX(I631,B632)</f>
        <v>0</v>
      </c>
      <c r="J632" s="17">
        <f>B632/I632-1</f>
        <v>0</v>
      </c>
    </row>
    <row r="633" spans="1:10">
      <c r="A633" s="6">
        <v>45121</v>
      </c>
      <c r="B633" s="14">
        <v>21885049.99290572</v>
      </c>
      <c r="D633" s="17">
        <f>B633/B632-1</f>
        <v>0</v>
      </c>
      <c r="E633" s="14">
        <v>14772435.07768786</v>
      </c>
      <c r="F633" s="17">
        <f>E633/E632-1</f>
        <v>0</v>
      </c>
      <c r="G633" s="14">
        <v>17421013.46773845</v>
      </c>
      <c r="H633" s="17">
        <f>G633/G632-1</f>
        <v>0</v>
      </c>
      <c r="I633" s="14">
        <f>MAX(I632,B633)</f>
        <v>0</v>
      </c>
      <c r="J633" s="17">
        <f>B633/I633-1</f>
        <v>0</v>
      </c>
    </row>
    <row r="634" spans="1:10">
      <c r="A634" s="6">
        <v>45124</v>
      </c>
      <c r="B634" s="14">
        <v>21857462.6767165</v>
      </c>
      <c r="D634" s="17">
        <f>B634/B633-1</f>
        <v>0</v>
      </c>
      <c r="E634" s="14">
        <v>14867067.69288654</v>
      </c>
      <c r="F634" s="17">
        <f>E634/E633-1</f>
        <v>0</v>
      </c>
      <c r="G634" s="14">
        <v>17515772.07673714</v>
      </c>
      <c r="H634" s="17">
        <f>G634/G633-1</f>
        <v>0</v>
      </c>
      <c r="I634" s="14">
        <f>MAX(I633,B634)</f>
        <v>0</v>
      </c>
      <c r="J634" s="17">
        <f>B634/I634-1</f>
        <v>0</v>
      </c>
    </row>
    <row r="635" spans="1:10">
      <c r="A635" s="6">
        <v>45125</v>
      </c>
      <c r="B635" s="14">
        <v>22095882.12417125</v>
      </c>
      <c r="D635" s="17">
        <f>B635/B634-1</f>
        <v>0</v>
      </c>
      <c r="E635" s="14">
        <v>14867730.90180954</v>
      </c>
      <c r="F635" s="17">
        <f>E635/E634-1</f>
        <v>0</v>
      </c>
      <c r="G635" s="14">
        <v>17458403.48585578</v>
      </c>
      <c r="H635" s="17">
        <f>G635/G634-1</f>
        <v>0</v>
      </c>
      <c r="I635" s="14">
        <f>MAX(I634,B635)</f>
        <v>0</v>
      </c>
      <c r="J635" s="17">
        <f>B635/I635-1</f>
        <v>0</v>
      </c>
    </row>
    <row r="636" spans="1:10">
      <c r="A636" s="6">
        <v>45126</v>
      </c>
      <c r="B636" s="14">
        <v>22433243.44241126</v>
      </c>
      <c r="D636" s="17">
        <f>B636/B635-1</f>
        <v>0</v>
      </c>
      <c r="E636" s="14">
        <v>14940257.29039989</v>
      </c>
      <c r="F636" s="17">
        <f>E636/E635-1</f>
        <v>0</v>
      </c>
      <c r="G636" s="14">
        <v>17548437.47667547</v>
      </c>
      <c r="H636" s="17">
        <f>G636/G635-1</f>
        <v>0</v>
      </c>
      <c r="I636" s="14">
        <f>MAX(I635,B636)</f>
        <v>0</v>
      </c>
      <c r="J636" s="17">
        <f>B636/I636-1</f>
        <v>0</v>
      </c>
    </row>
    <row r="637" spans="1:10">
      <c r="A637" s="6">
        <v>45127</v>
      </c>
      <c r="B637" s="14">
        <v>22675991.13878918</v>
      </c>
      <c r="D637" s="17">
        <f>B637/B636-1</f>
        <v>0</v>
      </c>
      <c r="E637" s="14">
        <v>15019444.65559202</v>
      </c>
      <c r="F637" s="17">
        <f>E637/E636-1</f>
        <v>0</v>
      </c>
      <c r="G637" s="14">
        <v>17601637.24847063</v>
      </c>
      <c r="H637" s="17">
        <f>G637/G636-1</f>
        <v>0</v>
      </c>
      <c r="I637" s="14">
        <f>MAX(I636,B637)</f>
        <v>0</v>
      </c>
      <c r="J637" s="17">
        <f>B637/I637-1</f>
        <v>0</v>
      </c>
    </row>
    <row r="638" spans="1:10">
      <c r="A638" s="6">
        <v>45128</v>
      </c>
      <c r="B638" s="14">
        <v>22490951.91544104</v>
      </c>
      <c r="D638" s="17">
        <f>B638/B637-1</f>
        <v>0</v>
      </c>
      <c r="E638" s="14">
        <v>14898321.4024322</v>
      </c>
      <c r="F638" s="17">
        <f>E638/E637-1</f>
        <v>0</v>
      </c>
      <c r="G638" s="14">
        <v>17593158.76805307</v>
      </c>
      <c r="H638" s="17">
        <f>G638/G637-1</f>
        <v>0</v>
      </c>
      <c r="I638" s="14">
        <f>MAX(I637,B638)</f>
        <v>0</v>
      </c>
      <c r="J638" s="17">
        <f>B638/I638-1</f>
        <v>0</v>
      </c>
    </row>
    <row r="639" spans="1:10">
      <c r="A639" s="6">
        <v>45131</v>
      </c>
      <c r="B639" s="14">
        <v>22608238.01778535</v>
      </c>
      <c r="D639" s="17">
        <f>B639/B638-1</f>
        <v>0</v>
      </c>
      <c r="E639" s="14">
        <v>14864526.3074867</v>
      </c>
      <c r="F639" s="17">
        <f>E639/E638-1</f>
        <v>0</v>
      </c>
      <c r="G639" s="14">
        <v>17611929.41698397</v>
      </c>
      <c r="H639" s="17">
        <f>G639/G638-1</f>
        <v>0</v>
      </c>
      <c r="I639" s="14">
        <f>MAX(I638,B639)</f>
        <v>0</v>
      </c>
      <c r="J639" s="17">
        <f>B639/I639-1</f>
        <v>0</v>
      </c>
    </row>
    <row r="640" spans="1:10">
      <c r="A640" s="6">
        <v>45132</v>
      </c>
      <c r="B640" s="14">
        <v>22616994.4421234</v>
      </c>
      <c r="D640" s="17">
        <f>B640/B639-1</f>
        <v>0</v>
      </c>
      <c r="E640" s="14">
        <v>14893217.80657214</v>
      </c>
      <c r="F640" s="17">
        <f>E640/E639-1</f>
        <v>0</v>
      </c>
      <c r="G640" s="14">
        <v>17684051.61133879</v>
      </c>
      <c r="H640" s="17">
        <f>G640/G639-1</f>
        <v>0</v>
      </c>
      <c r="I640" s="14">
        <f>MAX(I639,B640)</f>
        <v>0</v>
      </c>
      <c r="J640" s="17">
        <f>B640/I640-1</f>
        <v>0</v>
      </c>
    </row>
    <row r="641" spans="1:10">
      <c r="A641" s="6">
        <v>45133</v>
      </c>
      <c r="B641" s="14">
        <v>22643918.7825898</v>
      </c>
      <c r="D641" s="17">
        <f>B641/B640-1</f>
        <v>0</v>
      </c>
      <c r="E641" s="14">
        <v>14962765.34262596</v>
      </c>
      <c r="F641" s="17">
        <f>E641/E640-1</f>
        <v>0</v>
      </c>
      <c r="G641" s="14">
        <v>17754953.23283014</v>
      </c>
      <c r="H641" s="17">
        <f>G641/G640-1</f>
        <v>0</v>
      </c>
      <c r="I641" s="14">
        <f>MAX(I640,B641)</f>
        <v>0</v>
      </c>
      <c r="J641" s="17">
        <f>B641/I641-1</f>
        <v>0</v>
      </c>
    </row>
    <row r="642" spans="1:10">
      <c r="A642" s="6">
        <v>45134</v>
      </c>
      <c r="B642" s="14">
        <v>22749690.24013972</v>
      </c>
      <c r="D642" s="17">
        <f>B642/B641-1</f>
        <v>0</v>
      </c>
      <c r="E642" s="14">
        <v>14914291.75830821</v>
      </c>
      <c r="F642" s="17">
        <f>E642/E641-1</f>
        <v>0</v>
      </c>
      <c r="G642" s="14">
        <v>17786467.77320134</v>
      </c>
      <c r="H642" s="17">
        <f>G642/G641-1</f>
        <v>0</v>
      </c>
      <c r="I642" s="14">
        <f>MAX(I641,B642)</f>
        <v>0</v>
      </c>
      <c r="J642" s="17">
        <f>B642/I642-1</f>
        <v>0</v>
      </c>
    </row>
    <row r="643" spans="1:10">
      <c r="A643" s="6">
        <v>45135</v>
      </c>
      <c r="B643" s="14">
        <v>23044153.05505018</v>
      </c>
      <c r="D643" s="17">
        <f>B643/B642-1</f>
        <v>0</v>
      </c>
      <c r="E643" s="14">
        <v>14940698.06241789</v>
      </c>
      <c r="F643" s="17">
        <f>E643/E642-1</f>
        <v>0</v>
      </c>
      <c r="G643" s="14">
        <v>17880770.05951884</v>
      </c>
      <c r="H643" s="17">
        <f>G643/G642-1</f>
        <v>0</v>
      </c>
      <c r="I643" s="14">
        <f>MAX(I642,B643)</f>
        <v>0</v>
      </c>
      <c r="J643" s="17">
        <f>B643/I643-1</f>
        <v>0</v>
      </c>
    </row>
    <row r="644" spans="1:10">
      <c r="A644" s="6">
        <v>45138</v>
      </c>
      <c r="B644" s="14">
        <v>23324285.18217582</v>
      </c>
      <c r="D644" s="17">
        <f>B644/B643-1</f>
        <v>0</v>
      </c>
      <c r="E644" s="14">
        <v>15038952.59567507</v>
      </c>
      <c r="F644" s="17">
        <f>E644/E643-1</f>
        <v>0</v>
      </c>
      <c r="G644" s="14">
        <v>18047276.61300243</v>
      </c>
      <c r="H644" s="17">
        <f>G644/G643-1</f>
        <v>0</v>
      </c>
      <c r="I644" s="14">
        <f>MAX(I643,B644)</f>
        <v>0</v>
      </c>
      <c r="J644" s="17">
        <f>B644/I644-1</f>
        <v>0</v>
      </c>
    </row>
    <row r="645" spans="1:10">
      <c r="A645" s="6">
        <v>45139</v>
      </c>
      <c r="B645" s="14">
        <v>22920880.27022444</v>
      </c>
      <c r="D645" s="17">
        <f>B645/B644-1</f>
        <v>0</v>
      </c>
      <c r="E645" s="14">
        <v>15032748.64111775</v>
      </c>
      <c r="F645" s="17">
        <f>E645/E644-1</f>
        <v>0</v>
      </c>
      <c r="G645" s="14">
        <v>18075463.22602993</v>
      </c>
      <c r="H645" s="17">
        <f>G645/G644-1</f>
        <v>0</v>
      </c>
      <c r="I645" s="14">
        <f>MAX(I644,B645)</f>
        <v>0</v>
      </c>
      <c r="J645" s="17">
        <f>B645/I645-1</f>
        <v>0</v>
      </c>
    </row>
    <row r="646" spans="1:10">
      <c r="A646" s="6">
        <v>45140</v>
      </c>
      <c r="B646" s="14">
        <v>22765894.90787002</v>
      </c>
      <c r="D646" s="17">
        <f>B646/B645-1</f>
        <v>0</v>
      </c>
      <c r="E646" s="14">
        <v>14864014.81051362</v>
      </c>
      <c r="F646" s="17">
        <f>E646/E645-1</f>
        <v>0</v>
      </c>
      <c r="G646" s="14">
        <v>17848921.44503747</v>
      </c>
      <c r="H646" s="17">
        <f>G646/G645-1</f>
        <v>0</v>
      </c>
      <c r="I646" s="14">
        <f>MAX(I645,B646)</f>
        <v>0</v>
      </c>
      <c r="J646" s="17">
        <f>B646/I646-1</f>
        <v>0</v>
      </c>
    </row>
    <row r="647" spans="1:10">
      <c r="A647" s="6">
        <v>45141</v>
      </c>
      <c r="B647" s="14">
        <v>22707585.71749356</v>
      </c>
      <c r="D647" s="17">
        <f>B647/B646-1</f>
        <v>0</v>
      </c>
      <c r="E647" s="14">
        <v>14788327.36967476</v>
      </c>
      <c r="F647" s="17">
        <f>E647/E646-1</f>
        <v>0</v>
      </c>
      <c r="G647" s="14">
        <v>17865297.5210453</v>
      </c>
      <c r="H647" s="17">
        <f>G647/G646-1</f>
        <v>0</v>
      </c>
      <c r="I647" s="14">
        <f>MAX(I646,B647)</f>
        <v>0</v>
      </c>
      <c r="J647" s="17">
        <f>B647/I647-1</f>
        <v>0</v>
      </c>
    </row>
    <row r="648" spans="1:10">
      <c r="A648" s="6">
        <v>45142</v>
      </c>
      <c r="B648" s="14">
        <v>22660832.55960395</v>
      </c>
      <c r="D648" s="17">
        <f>B648/B647-1</f>
        <v>0</v>
      </c>
      <c r="E648" s="14">
        <v>14893336.99099447</v>
      </c>
      <c r="F648" s="17">
        <f>E648/E647-1</f>
        <v>0</v>
      </c>
      <c r="G648" s="14">
        <v>17951764.32221644</v>
      </c>
      <c r="H648" s="17">
        <f>G648/G647-1</f>
        <v>0</v>
      </c>
      <c r="I648" s="14">
        <f>MAX(I647,B648)</f>
        <v>0</v>
      </c>
      <c r="J648" s="17">
        <f>B648/I648-1</f>
        <v>0</v>
      </c>
    </row>
    <row r="649" spans="1:10">
      <c r="A649" s="6">
        <v>45145</v>
      </c>
      <c r="B649" s="14">
        <v>22714647.18632663</v>
      </c>
      <c r="D649" s="17">
        <f>B649/B648-1</f>
        <v>0</v>
      </c>
      <c r="E649" s="14">
        <v>14952021.45771017</v>
      </c>
      <c r="F649" s="17">
        <f>E649/E648-1</f>
        <v>0</v>
      </c>
      <c r="G649" s="14">
        <v>18045882.19204406</v>
      </c>
      <c r="H649" s="17">
        <f>G649/G648-1</f>
        <v>0</v>
      </c>
      <c r="I649" s="14">
        <f>MAX(I648,B649)</f>
        <v>0</v>
      </c>
      <c r="J649" s="17">
        <f>B649/I649-1</f>
        <v>0</v>
      </c>
    </row>
    <row r="650" spans="1:10">
      <c r="A650" s="6">
        <v>45146</v>
      </c>
      <c r="B650" s="14">
        <v>22773257.26208238</v>
      </c>
      <c r="D650" s="17">
        <f>B650/B649-1</f>
        <v>0</v>
      </c>
      <c r="E650" s="14">
        <v>14946473.05987479</v>
      </c>
      <c r="F650" s="17">
        <f>E650/E649-1</f>
        <v>0</v>
      </c>
      <c r="G650" s="14">
        <v>18099372.16096249</v>
      </c>
      <c r="H650" s="17">
        <f>G650/G649-1</f>
        <v>0</v>
      </c>
      <c r="I650" s="14">
        <f>MAX(I649,B650)</f>
        <v>0</v>
      </c>
      <c r="J650" s="17">
        <f>B650/I650-1</f>
        <v>0</v>
      </c>
    </row>
    <row r="651" spans="1:10">
      <c r="A651" s="6">
        <v>45147</v>
      </c>
      <c r="B651" s="14">
        <v>22820385.62245395</v>
      </c>
      <c r="D651" s="17">
        <f>B651/B650-1</f>
        <v>0</v>
      </c>
      <c r="E651" s="14">
        <v>14995332.74368206</v>
      </c>
      <c r="F651" s="17">
        <f>E651/E650-1</f>
        <v>0</v>
      </c>
      <c r="G651" s="14">
        <v>18169452.07637116</v>
      </c>
      <c r="H651" s="17">
        <f>G651/G650-1</f>
        <v>0</v>
      </c>
      <c r="I651" s="14">
        <f>MAX(I650,B651)</f>
        <v>0</v>
      </c>
      <c r="J651" s="17">
        <f>B651/I651-1</f>
        <v>0</v>
      </c>
    </row>
    <row r="652" spans="1:10">
      <c r="A652" s="6">
        <v>45148</v>
      </c>
      <c r="B652" s="14">
        <v>22607915.56939969</v>
      </c>
      <c r="D652" s="17">
        <f>B652/B651-1</f>
        <v>0</v>
      </c>
      <c r="E652" s="14">
        <v>14939606.57051477</v>
      </c>
      <c r="F652" s="17">
        <f>E652/E651-1</f>
        <v>0</v>
      </c>
      <c r="G652" s="14">
        <v>18122122.09332186</v>
      </c>
      <c r="H652" s="17">
        <f>G652/G651-1</f>
        <v>0</v>
      </c>
      <c r="I652" s="14">
        <f>MAX(I651,B652)</f>
        <v>0</v>
      </c>
      <c r="J652" s="17">
        <f>B652/I652-1</f>
        <v>0</v>
      </c>
    </row>
    <row r="653" spans="1:10">
      <c r="A653" s="6">
        <v>45149</v>
      </c>
      <c r="B653" s="14">
        <v>22705545.68484882</v>
      </c>
      <c r="D653" s="17">
        <f>B653/B652-1</f>
        <v>0</v>
      </c>
      <c r="E653" s="14">
        <v>14870029.57758764</v>
      </c>
      <c r="F653" s="17">
        <f>E653/E652-1</f>
        <v>0</v>
      </c>
      <c r="G653" s="14">
        <v>18112559.91806733</v>
      </c>
      <c r="H653" s="17">
        <f>G653/G652-1</f>
        <v>0</v>
      </c>
      <c r="I653" s="14">
        <f>MAX(I652,B653)</f>
        <v>0</v>
      </c>
      <c r="J653" s="17">
        <f>B653/I653-1</f>
        <v>0</v>
      </c>
    </row>
    <row r="654" spans="1:10">
      <c r="A654" s="6">
        <v>45152</v>
      </c>
      <c r="B654" s="14">
        <v>22712282.37968137</v>
      </c>
      <c r="D654" s="17">
        <f>B654/B653-1</f>
        <v>0</v>
      </c>
      <c r="E654" s="14">
        <v>14840222.09739419</v>
      </c>
      <c r="F654" s="17">
        <f>E654/E653-1</f>
        <v>0</v>
      </c>
      <c r="G654" s="14">
        <v>17984356.37964859</v>
      </c>
      <c r="H654" s="17">
        <f>G654/G653-1</f>
        <v>0</v>
      </c>
      <c r="I654" s="14">
        <f>MAX(I653,B654)</f>
        <v>0</v>
      </c>
      <c r="J654" s="17">
        <f>B654/I654-1</f>
        <v>0</v>
      </c>
    </row>
    <row r="655" spans="1:10">
      <c r="A655" s="6">
        <v>45154</v>
      </c>
      <c r="B655" s="14">
        <v>22875218.0554515</v>
      </c>
      <c r="D655" s="17">
        <f>B655/B654-1</f>
        <v>0</v>
      </c>
      <c r="E655" s="14">
        <v>14865183.91570089</v>
      </c>
      <c r="F655" s="17">
        <f>E655/E654-1</f>
        <v>0</v>
      </c>
      <c r="G655" s="14">
        <v>18019084.31746214</v>
      </c>
      <c r="H655" s="17">
        <f>G655/G654-1</f>
        <v>0</v>
      </c>
      <c r="I655" s="14">
        <f>MAX(I654,B655)</f>
        <v>0</v>
      </c>
      <c r="J655" s="17">
        <f>B655/I655-1</f>
        <v>0</v>
      </c>
    </row>
    <row r="656" spans="1:10">
      <c r="A656" s="6">
        <v>45155</v>
      </c>
      <c r="B656" s="14">
        <v>22996912.50240117</v>
      </c>
      <c r="D656" s="17">
        <f>B656/B655-1</f>
        <v>0</v>
      </c>
      <c r="E656" s="14">
        <v>14821083.10178786</v>
      </c>
      <c r="F656" s="17">
        <f>E656/E655-1</f>
        <v>0</v>
      </c>
      <c r="G656" s="14">
        <v>18025252.65369867</v>
      </c>
      <c r="H656" s="17">
        <f>G656/G655-1</f>
        <v>0</v>
      </c>
      <c r="I656" s="14">
        <f>MAX(I655,B656)</f>
        <v>0</v>
      </c>
      <c r="J656" s="17">
        <f>B656/I656-1</f>
        <v>0</v>
      </c>
    </row>
    <row r="657" spans="1:10">
      <c r="A657" s="6">
        <v>45156</v>
      </c>
      <c r="B657" s="14">
        <v>23054323.62634016</v>
      </c>
      <c r="D657" s="17">
        <f>B657/B656-1</f>
        <v>0</v>
      </c>
      <c r="E657" s="14">
        <v>14782491.10507901</v>
      </c>
      <c r="F657" s="17">
        <f>E657/E656-1</f>
        <v>0</v>
      </c>
      <c r="G657" s="14">
        <v>17986606.77962279</v>
      </c>
      <c r="H657" s="17">
        <f>G657/G656-1</f>
        <v>0</v>
      </c>
      <c r="I657" s="14">
        <f>MAX(I656,B657)</f>
        <v>0</v>
      </c>
      <c r="J657" s="17">
        <f>B657/I657-1</f>
        <v>0</v>
      </c>
    </row>
    <row r="658" spans="1:10">
      <c r="A658" s="6">
        <v>45159</v>
      </c>
      <c r="B658" s="14">
        <v>23285729.58614472</v>
      </c>
      <c r="D658" s="17">
        <f>B658/B657-1</f>
        <v>0</v>
      </c>
      <c r="E658" s="14">
        <v>14866425.50032142</v>
      </c>
      <c r="F658" s="17">
        <f>E658/E657-1</f>
        <v>0</v>
      </c>
      <c r="G658" s="14">
        <v>18101743.54424003</v>
      </c>
      <c r="H658" s="17">
        <f>G658/G657-1</f>
        <v>0</v>
      </c>
      <c r="I658" s="14">
        <f>MAX(I657,B658)</f>
        <v>0</v>
      </c>
      <c r="J658" s="17">
        <f>B658/I658-1</f>
        <v>0</v>
      </c>
    </row>
    <row r="659" spans="1:10">
      <c r="A659" s="6">
        <v>45160</v>
      </c>
      <c r="B659" s="14">
        <v>23534743.48342548</v>
      </c>
      <c r="D659" s="17">
        <f>B659/B658-1</f>
        <v>0</v>
      </c>
      <c r="E659" s="14">
        <v>14914064.34387192</v>
      </c>
      <c r="F659" s="17">
        <f>E659/E658-1</f>
        <v>0</v>
      </c>
      <c r="G659" s="14">
        <v>18234177.85749609</v>
      </c>
      <c r="H659" s="17">
        <f>G659/G658-1</f>
        <v>0</v>
      </c>
      <c r="I659" s="14">
        <f>MAX(I658,B659)</f>
        <v>0</v>
      </c>
      <c r="J659" s="17">
        <f>B659/I659-1</f>
        <v>0</v>
      </c>
    </row>
    <row r="660" spans="1:10">
      <c r="A660" s="6">
        <v>45161</v>
      </c>
      <c r="B660" s="14">
        <v>23753757.4342935</v>
      </c>
      <c r="D660" s="17">
        <f>B660/B659-1</f>
        <v>0</v>
      </c>
      <c r="E660" s="14">
        <v>14954474.21032283</v>
      </c>
      <c r="F660" s="17">
        <f>E660/E659-1</f>
        <v>0</v>
      </c>
      <c r="G660" s="14">
        <v>18306107.8480754</v>
      </c>
      <c r="H660" s="17">
        <f>G660/G659-1</f>
        <v>0</v>
      </c>
      <c r="I660" s="14">
        <f>MAX(I659,B660)</f>
        <v>0</v>
      </c>
      <c r="J660" s="17">
        <f>B660/I660-1</f>
        <v>0</v>
      </c>
    </row>
    <row r="661" spans="1:10">
      <c r="A661" s="6">
        <v>45162</v>
      </c>
      <c r="B661" s="14">
        <v>23776255.80931329</v>
      </c>
      <c r="D661" s="17">
        <f>B661/B660-1</f>
        <v>0</v>
      </c>
      <c r="E661" s="14">
        <v>14937453.31004317</v>
      </c>
      <c r="F661" s="17">
        <f>E661/E660-1</f>
        <v>0</v>
      </c>
      <c r="G661" s="14">
        <v>18324873.01519161</v>
      </c>
      <c r="H661" s="17">
        <f>G661/G660-1</f>
        <v>0</v>
      </c>
      <c r="I661" s="14">
        <f>MAX(I660,B661)</f>
        <v>0</v>
      </c>
      <c r="J661" s="17">
        <f>B661/I661-1</f>
        <v>0</v>
      </c>
    </row>
    <row r="662" spans="1:10">
      <c r="A662" s="6">
        <v>45163</v>
      </c>
      <c r="B662" s="14">
        <v>23537201.17574179</v>
      </c>
      <c r="D662" s="17">
        <f>B662/B661-1</f>
        <v>0</v>
      </c>
      <c r="E662" s="14">
        <v>14841728.65670522</v>
      </c>
      <c r="F662" s="17">
        <f>E662/E661-1</f>
        <v>0</v>
      </c>
      <c r="G662" s="14">
        <v>18201217.95844737</v>
      </c>
      <c r="H662" s="17">
        <f>G662/G661-1</f>
        <v>0</v>
      </c>
      <c r="I662" s="14">
        <f>MAX(I661,B662)</f>
        <v>0</v>
      </c>
      <c r="J662" s="17">
        <f>B662/I662-1</f>
        <v>0</v>
      </c>
    </row>
    <row r="663" spans="1:10">
      <c r="A663" s="6">
        <v>45166</v>
      </c>
      <c r="B663" s="14">
        <v>23659517.69400551</v>
      </c>
      <c r="D663" s="17">
        <f>B663/B662-1</f>
        <v>0</v>
      </c>
      <c r="E663" s="14">
        <v>14890479.918111</v>
      </c>
      <c r="F663" s="17">
        <f>E663/E662-1</f>
        <v>0</v>
      </c>
      <c r="G663" s="14">
        <v>18300239.10135116</v>
      </c>
      <c r="H663" s="17">
        <f>G663/G662-1</f>
        <v>0</v>
      </c>
      <c r="I663" s="14">
        <f>MAX(I662,B663)</f>
        <v>0</v>
      </c>
      <c r="J663" s="17">
        <f>B663/I663-1</f>
        <v>0</v>
      </c>
    </row>
    <row r="664" spans="1:10">
      <c r="A664" s="6">
        <v>45167</v>
      </c>
      <c r="B664" s="14">
        <v>23672038.41981759</v>
      </c>
      <c r="D664" s="17">
        <f>B664/B663-1</f>
        <v>0</v>
      </c>
      <c r="E664" s="14">
        <v>14937072.90886293</v>
      </c>
      <c r="F664" s="17">
        <f>E664/E663-1</f>
        <v>0</v>
      </c>
      <c r="G664" s="14">
        <v>18420105.01375698</v>
      </c>
      <c r="H664" s="17">
        <f>G664/G663-1</f>
        <v>0</v>
      </c>
      <c r="I664" s="14">
        <f>MAX(I663,B664)</f>
        <v>0</v>
      </c>
      <c r="J664" s="17">
        <f>B664/I664-1</f>
        <v>0</v>
      </c>
    </row>
    <row r="665" spans="1:10">
      <c r="A665" s="6">
        <v>45168</v>
      </c>
      <c r="B665" s="14">
        <v>23956118.59960276</v>
      </c>
      <c r="D665" s="17">
        <f>B665/B664-1</f>
        <v>0</v>
      </c>
      <c r="E665" s="14">
        <v>14974535.81932154</v>
      </c>
      <c r="F665" s="17">
        <f>E665/E664-1</f>
        <v>0</v>
      </c>
      <c r="G665" s="14">
        <v>18521937.43140303</v>
      </c>
      <c r="H665" s="17">
        <f>G665/G664-1</f>
        <v>0</v>
      </c>
      <c r="I665" s="14">
        <f>MAX(I664,B665)</f>
        <v>0</v>
      </c>
      <c r="J665" s="17">
        <f>B665/I665-1</f>
        <v>0</v>
      </c>
    </row>
    <row r="666" spans="1:10">
      <c r="A666" s="6">
        <v>45169</v>
      </c>
      <c r="B666" s="14">
        <v>24048619.69080806</v>
      </c>
      <c r="D666" s="17">
        <f>B666/B665-1</f>
        <v>0</v>
      </c>
      <c r="E666" s="14">
        <v>14935848.12473579</v>
      </c>
      <c r="F666" s="17">
        <f>E666/E665-1</f>
        <v>0</v>
      </c>
      <c r="G666" s="14">
        <v>18521644.06714011</v>
      </c>
      <c r="H666" s="17">
        <f>G666/G665-1</f>
        <v>0</v>
      </c>
      <c r="I666" s="14">
        <f>MAX(I665,B666)</f>
        <v>0</v>
      </c>
      <c r="J666" s="17">
        <f>B666/I666-1</f>
        <v>0</v>
      </c>
    </row>
    <row r="667" spans="1:10">
      <c r="A667" s="6">
        <v>45170</v>
      </c>
      <c r="B667" s="14">
        <v>24133709.28401694</v>
      </c>
      <c r="D667" s="17">
        <f>B667/B666-1</f>
        <v>0</v>
      </c>
      <c r="E667" s="14">
        <v>15069156.33610324</v>
      </c>
      <c r="F667" s="17">
        <f>E667/E666-1</f>
        <v>0</v>
      </c>
      <c r="G667" s="14">
        <v>18678796.94139944</v>
      </c>
      <c r="H667" s="17">
        <f>G667/G666-1</f>
        <v>0</v>
      </c>
      <c r="I667" s="14">
        <f>MAX(I666,B667)</f>
        <v>0</v>
      </c>
      <c r="J667" s="17">
        <f>B667/I667-1</f>
        <v>0</v>
      </c>
    </row>
    <row r="668" spans="1:10">
      <c r="A668" s="6">
        <v>45173</v>
      </c>
      <c r="B668" s="14">
        <v>24194827.27401932</v>
      </c>
      <c r="D668" s="17">
        <f>B668/B667-1</f>
        <v>0</v>
      </c>
      <c r="E668" s="14">
        <v>15163775.92792805</v>
      </c>
      <c r="F668" s="17">
        <f>E668/E667-1</f>
        <v>0</v>
      </c>
      <c r="G668" s="14">
        <v>18877186.92663044</v>
      </c>
      <c r="H668" s="17">
        <f>G668/G667-1</f>
        <v>0</v>
      </c>
      <c r="I668" s="14">
        <f>MAX(I667,B668)</f>
        <v>0</v>
      </c>
      <c r="J668" s="17">
        <f>B668/I668-1</f>
        <v>0</v>
      </c>
    </row>
    <row r="669" spans="1:10">
      <c r="A669" s="6">
        <v>45174</v>
      </c>
      <c r="B669" s="14">
        <v>24279334.16333363</v>
      </c>
      <c r="D669" s="17">
        <f>B669/B668-1</f>
        <v>0</v>
      </c>
      <c r="E669" s="14">
        <v>15227294.80951146</v>
      </c>
      <c r="F669" s="17">
        <f>E669/E668-1</f>
        <v>0</v>
      </c>
      <c r="G669" s="14">
        <v>19025208.18985942</v>
      </c>
      <c r="H669" s="17">
        <f>G669/G668-1</f>
        <v>0</v>
      </c>
      <c r="I669" s="14">
        <f>MAX(I668,B669)</f>
        <v>0</v>
      </c>
      <c r="J669" s="17">
        <f>B669/I669-1</f>
        <v>0</v>
      </c>
    </row>
    <row r="670" spans="1:10">
      <c r="A670" s="6">
        <v>45175</v>
      </c>
      <c r="B670" s="14">
        <v>24303882.7073256</v>
      </c>
      <c r="D670" s="17">
        <f>B670/B669-1</f>
        <v>0</v>
      </c>
      <c r="E670" s="14">
        <v>15256705.53343875</v>
      </c>
      <c r="F670" s="17">
        <f>E670/E669-1</f>
        <v>0</v>
      </c>
      <c r="G670" s="14">
        <v>19075240.62835244</v>
      </c>
      <c r="H670" s="17">
        <f>G670/G669-1</f>
        <v>0</v>
      </c>
      <c r="I670" s="14">
        <f>MAX(I669,B670)</f>
        <v>0</v>
      </c>
      <c r="J670" s="17">
        <f>B670/I670-1</f>
        <v>0</v>
      </c>
    </row>
    <row r="671" spans="1:10">
      <c r="A671" s="6">
        <v>45176</v>
      </c>
      <c r="B671" s="14">
        <v>24434962.03782216</v>
      </c>
      <c r="D671" s="17">
        <f>B671/B670-1</f>
        <v>0</v>
      </c>
      <c r="E671" s="14">
        <v>15346494.42145666</v>
      </c>
      <c r="F671" s="17">
        <f>E671/E670-1</f>
        <v>0</v>
      </c>
      <c r="G671" s="14">
        <v>19192443.64814999</v>
      </c>
      <c r="H671" s="17">
        <f>G671/G670-1</f>
        <v>0</v>
      </c>
      <c r="I671" s="14">
        <f>MAX(I670,B671)</f>
        <v>0</v>
      </c>
      <c r="J671" s="17">
        <f>B671/I671-1</f>
        <v>0</v>
      </c>
    </row>
    <row r="672" spans="1:10">
      <c r="A672" s="6">
        <v>45177</v>
      </c>
      <c r="B672" s="14">
        <v>24830045.54163988</v>
      </c>
      <c r="D672" s="17">
        <f>B672/B671-1</f>
        <v>0</v>
      </c>
      <c r="E672" s="14">
        <v>15437217.62109061</v>
      </c>
      <c r="F672" s="17">
        <f>E672/E671-1</f>
        <v>0</v>
      </c>
      <c r="G672" s="14">
        <v>19314386.66885658</v>
      </c>
      <c r="H672" s="17">
        <f>G672/G671-1</f>
        <v>0</v>
      </c>
      <c r="I672" s="14">
        <f>MAX(I671,B672)</f>
        <v>0</v>
      </c>
      <c r="J672" s="17">
        <f>B672/I672-1</f>
        <v>0</v>
      </c>
    </row>
    <row r="673" spans="1:10">
      <c r="A673" s="6">
        <v>45180</v>
      </c>
      <c r="B673" s="14">
        <v>24893085.02695772</v>
      </c>
      <c r="D673" s="17">
        <f>B673/B672-1</f>
        <v>0</v>
      </c>
      <c r="E673" s="14">
        <v>15584402.92657303</v>
      </c>
      <c r="F673" s="17">
        <f>E673/E672-1</f>
        <v>0</v>
      </c>
      <c r="G673" s="14">
        <v>19538586.32544814</v>
      </c>
      <c r="H673" s="17">
        <f>G673/G672-1</f>
        <v>0</v>
      </c>
      <c r="I673" s="14">
        <f>MAX(I672,B673)</f>
        <v>0</v>
      </c>
      <c r="J673" s="17">
        <f>B673/I673-1</f>
        <v>0</v>
      </c>
    </row>
    <row r="674" spans="1:10">
      <c r="A674" s="6">
        <v>45181</v>
      </c>
      <c r="B674" s="14">
        <v>24141706.10478867</v>
      </c>
      <c r="D674" s="17">
        <f>B674/B673-1</f>
        <v>0</v>
      </c>
      <c r="E674" s="14">
        <v>15414941.95275952</v>
      </c>
      <c r="F674" s="17">
        <f>E674/E673-1</f>
        <v>0</v>
      </c>
      <c r="G674" s="14">
        <v>19009654.83395318</v>
      </c>
      <c r="H674" s="17">
        <f>G674/G673-1</f>
        <v>0</v>
      </c>
      <c r="I674" s="14">
        <f>MAX(I673,B674)</f>
        <v>0</v>
      </c>
      <c r="J674" s="17">
        <f>B674/I674-1</f>
        <v>0</v>
      </c>
    </row>
    <row r="675" spans="1:10">
      <c r="A675" s="6">
        <v>45182</v>
      </c>
      <c r="B675" s="14">
        <v>24145910.35558417</v>
      </c>
      <c r="D675" s="17">
        <f>B675/B674-1</f>
        <v>0</v>
      </c>
      <c r="E675" s="14">
        <v>15474119.5786408</v>
      </c>
      <c r="F675" s="17">
        <f>E675/E674-1</f>
        <v>0</v>
      </c>
      <c r="G675" s="14">
        <v>19127839.72914207</v>
      </c>
      <c r="H675" s="17">
        <f>G675/G674-1</f>
        <v>0</v>
      </c>
      <c r="I675" s="14">
        <f>MAX(I674,B675)</f>
        <v>0</v>
      </c>
      <c r="J675" s="17">
        <f>B675/I675-1</f>
        <v>0</v>
      </c>
    </row>
    <row r="676" spans="1:10">
      <c r="A676" s="6">
        <v>45183</v>
      </c>
      <c r="B676" s="14">
        <v>24343222.00211851</v>
      </c>
      <c r="D676" s="17">
        <f>B676/B675-1</f>
        <v>0</v>
      </c>
      <c r="E676" s="14">
        <v>15542617.9304967</v>
      </c>
      <c r="F676" s="17">
        <f>E676/E675-1</f>
        <v>0</v>
      </c>
      <c r="G676" s="14">
        <v>19299245.15212388</v>
      </c>
      <c r="H676" s="17">
        <f>G676/G675-1</f>
        <v>0</v>
      </c>
      <c r="I676" s="14">
        <f>MAX(I675,B676)</f>
        <v>0</v>
      </c>
      <c r="J676" s="17">
        <f>B676/I676-1</f>
        <v>0</v>
      </c>
    </row>
    <row r="677" spans="1:10">
      <c r="A677" s="6">
        <v>45184</v>
      </c>
      <c r="B677" s="14">
        <v>24316997.97891775</v>
      </c>
      <c r="D677" s="17">
        <f>B677/B676-1</f>
        <v>0</v>
      </c>
      <c r="E677" s="14">
        <v>15598365.14123613</v>
      </c>
      <c r="F677" s="17">
        <f>E677/E676-1</f>
        <v>0</v>
      </c>
      <c r="G677" s="14">
        <v>19363380.47184906</v>
      </c>
      <c r="H677" s="17">
        <f>G677/G676-1</f>
        <v>0</v>
      </c>
      <c r="I677" s="14">
        <f>MAX(I676,B677)</f>
        <v>0</v>
      </c>
      <c r="J677" s="17">
        <f>B677/I677-1</f>
        <v>0</v>
      </c>
    </row>
    <row r="678" spans="1:10">
      <c r="A678" s="6">
        <v>45187</v>
      </c>
      <c r="B678" s="14">
        <v>24397595.65035653</v>
      </c>
      <c r="D678" s="17">
        <f>B678/B677-1</f>
        <v>0</v>
      </c>
      <c r="E678" s="14">
        <v>15553015.8724075</v>
      </c>
      <c r="F678" s="17">
        <f>E678/E677-1</f>
        <v>0</v>
      </c>
      <c r="G678" s="14">
        <v>19327945.66309623</v>
      </c>
      <c r="H678" s="17">
        <f>G678/G677-1</f>
        <v>0</v>
      </c>
      <c r="I678" s="14">
        <f>MAX(I677,B678)</f>
        <v>0</v>
      </c>
      <c r="J678" s="17">
        <f>B678/I678-1</f>
        <v>0</v>
      </c>
    </row>
    <row r="679" spans="1:10">
      <c r="A679" s="6">
        <v>45189</v>
      </c>
      <c r="B679" s="14">
        <v>24485894.57236241</v>
      </c>
      <c r="D679" s="17">
        <f>B679/B678-1</f>
        <v>0</v>
      </c>
      <c r="E679" s="14">
        <v>15408721.80800686</v>
      </c>
      <c r="F679" s="17">
        <f>E679/E678-1</f>
        <v>0</v>
      </c>
      <c r="G679" s="14">
        <v>19205545.68099012</v>
      </c>
      <c r="H679" s="17">
        <f>G679/G678-1</f>
        <v>0</v>
      </c>
      <c r="I679" s="14">
        <f>MAX(I678,B679)</f>
        <v>0</v>
      </c>
      <c r="J679" s="17">
        <f>B679/I679-1</f>
        <v>0</v>
      </c>
    </row>
    <row r="680" spans="1:10">
      <c r="A680" s="6">
        <v>45190</v>
      </c>
      <c r="B680" s="14">
        <v>24327414.83515627</v>
      </c>
      <c r="D680" s="17">
        <f>B680/B679-1</f>
        <v>0</v>
      </c>
      <c r="E680" s="14">
        <v>15280662.44362719</v>
      </c>
      <c r="F680" s="17">
        <f>E680/E679-1</f>
        <v>0</v>
      </c>
      <c r="G680" s="14">
        <v>19015411.40827324</v>
      </c>
      <c r="H680" s="17">
        <f>G680/G679-1</f>
        <v>0</v>
      </c>
      <c r="I680" s="14">
        <f>MAX(I679,B680)</f>
        <v>0</v>
      </c>
      <c r="J680" s="17">
        <f>B680/I680-1</f>
        <v>0</v>
      </c>
    </row>
    <row r="681" spans="1:10">
      <c r="A681" s="6">
        <v>45191</v>
      </c>
      <c r="B681" s="14">
        <v>24298552.80175546</v>
      </c>
      <c r="D681" s="17">
        <f>B681/B680-1</f>
        <v>0</v>
      </c>
      <c r="E681" s="14">
        <v>15243682.5582689</v>
      </c>
      <c r="F681" s="17">
        <f>E681/E680-1</f>
        <v>0</v>
      </c>
      <c r="G681" s="14">
        <v>19038469.43413061</v>
      </c>
      <c r="H681" s="17">
        <f>G681/G680-1</f>
        <v>0</v>
      </c>
      <c r="I681" s="14">
        <f>MAX(I680,B681)</f>
        <v>0</v>
      </c>
      <c r="J681" s="17">
        <f>B681/I681-1</f>
        <v>0</v>
      </c>
    </row>
    <row r="682" spans="1:10">
      <c r="A682" s="6">
        <v>45194</v>
      </c>
      <c r="B682" s="14">
        <v>24313119.19041698</v>
      </c>
      <c r="D682" s="17">
        <f>B682/B681-1</f>
        <v>0</v>
      </c>
      <c r="E682" s="14">
        <v>15254785.3285894</v>
      </c>
      <c r="F682" s="17">
        <f>E682/E681-1</f>
        <v>0</v>
      </c>
      <c r="G682" s="14">
        <v>19058072.41290189</v>
      </c>
      <c r="H682" s="17">
        <f>G682/G681-1</f>
        <v>0</v>
      </c>
      <c r="I682" s="14">
        <f>MAX(I681,B682)</f>
        <v>0</v>
      </c>
      <c r="J682" s="17">
        <f>B682/I682-1</f>
        <v>0</v>
      </c>
    </row>
    <row r="683" spans="1:10">
      <c r="A683" s="6">
        <v>45195</v>
      </c>
      <c r="B683" s="14">
        <v>24339823.29929886</v>
      </c>
      <c r="D683" s="17">
        <f>B683/B682-1</f>
        <v>0</v>
      </c>
      <c r="E683" s="14">
        <v>15259220.41634051</v>
      </c>
      <c r="F683" s="17">
        <f>E683/E682-1</f>
        <v>0</v>
      </c>
      <c r="G683" s="14">
        <v>19079812.23433044</v>
      </c>
      <c r="H683" s="17">
        <f>G683/G682-1</f>
        <v>0</v>
      </c>
      <c r="I683" s="14">
        <f>MAX(I682,B683)</f>
        <v>0</v>
      </c>
      <c r="J683" s="17">
        <f>B683/I683-1</f>
        <v>0</v>
      </c>
    </row>
    <row r="684" spans="1:10">
      <c r="A684" s="6">
        <v>45196</v>
      </c>
      <c r="B684" s="14">
        <v>24858668.54302899</v>
      </c>
      <c r="D684" s="17">
        <f>B684/B683-1</f>
        <v>0</v>
      </c>
      <c r="E684" s="14">
        <v>15317223.70285763</v>
      </c>
      <c r="F684" s="17">
        <f>E684/E683-1</f>
        <v>0</v>
      </c>
      <c r="G684" s="14">
        <v>19199656.2031591</v>
      </c>
      <c r="H684" s="17">
        <f>G684/G683-1</f>
        <v>0</v>
      </c>
      <c r="I684" s="14">
        <f>MAX(I683,B684)</f>
        <v>0</v>
      </c>
      <c r="J684" s="17">
        <f>B684/I684-1</f>
        <v>0</v>
      </c>
    </row>
    <row r="685" spans="1:10">
      <c r="A685" s="6">
        <v>45197</v>
      </c>
      <c r="B685" s="14">
        <v>24530942.44831418</v>
      </c>
      <c r="D685" s="17">
        <f>B685/B684-1</f>
        <v>0</v>
      </c>
      <c r="E685" s="14">
        <v>15166781.98688965</v>
      </c>
      <c r="F685" s="17">
        <f>E685/E684-1</f>
        <v>0</v>
      </c>
      <c r="G685" s="14">
        <v>19011918.34396508</v>
      </c>
      <c r="H685" s="17">
        <f>G685/G684-1</f>
        <v>0</v>
      </c>
      <c r="I685" s="14">
        <f>MAX(I684,B685)</f>
        <v>0</v>
      </c>
      <c r="J685" s="17">
        <f>B685/I685-1</f>
        <v>0</v>
      </c>
    </row>
    <row r="686" spans="1:10">
      <c r="A686" s="6">
        <v>45198</v>
      </c>
      <c r="B686" s="14">
        <v>24820519.75775165</v>
      </c>
      <c r="D686" s="17">
        <f>B686/B685-1</f>
        <v>0</v>
      </c>
      <c r="E686" s="14">
        <v>15275400.5381427</v>
      </c>
      <c r="F686" s="17">
        <f>E686/E685-1</f>
        <v>0</v>
      </c>
      <c r="G686" s="14">
        <v>19199703.37383227</v>
      </c>
      <c r="H686" s="17">
        <f>G686/G685-1</f>
        <v>0</v>
      </c>
      <c r="I686" s="14">
        <f>MAX(I685,B686)</f>
        <v>0</v>
      </c>
      <c r="J686" s="17">
        <f>B686/I686-1</f>
        <v>0</v>
      </c>
    </row>
    <row r="687" spans="1:10">
      <c r="A687" s="6">
        <v>45202</v>
      </c>
      <c r="B687" s="14">
        <v>24847824.04872576</v>
      </c>
      <c r="D687" s="17">
        <f>B687/B686-1</f>
        <v>0</v>
      </c>
      <c r="E687" s="14">
        <v>15242384.69656027</v>
      </c>
      <c r="F687" s="17">
        <f>E687/E686-1</f>
        <v>0</v>
      </c>
      <c r="G687" s="14">
        <v>19229364.14995896</v>
      </c>
      <c r="H687" s="17">
        <f>G687/G686-1</f>
        <v>0</v>
      </c>
      <c r="I687" s="14">
        <f>MAX(I686,B687)</f>
        <v>0</v>
      </c>
      <c r="J687" s="17">
        <f>B687/I687-1</f>
        <v>0</v>
      </c>
    </row>
    <row r="688" spans="1:10">
      <c r="A688" s="6">
        <v>45203</v>
      </c>
      <c r="B688" s="14">
        <v>24385362.06827925</v>
      </c>
      <c r="D688" s="17">
        <f>B688/B687-1</f>
        <v>0</v>
      </c>
      <c r="E688" s="14">
        <v>15127120.57555149</v>
      </c>
      <c r="F688" s="17">
        <f>E688/E687-1</f>
        <v>0</v>
      </c>
      <c r="G688" s="14">
        <v>19008884.87919882</v>
      </c>
      <c r="H688" s="17">
        <f>G688/G687-1</f>
        <v>0</v>
      </c>
      <c r="I688" s="14">
        <f>MAX(I687,B688)</f>
        <v>0</v>
      </c>
      <c r="J688" s="17">
        <f>B688/I688-1</f>
        <v>0</v>
      </c>
    </row>
    <row r="689" spans="1:10">
      <c r="A689" s="6">
        <v>45204</v>
      </c>
      <c r="B689" s="14">
        <v>24395099.04154888</v>
      </c>
      <c r="D689" s="17">
        <f>B689/B688-1</f>
        <v>0</v>
      </c>
      <c r="E689" s="14">
        <v>15192067.56856334</v>
      </c>
      <c r="F689" s="17">
        <f>E689/E688-1</f>
        <v>0</v>
      </c>
      <c r="G689" s="14">
        <v>19031760.41917837</v>
      </c>
      <c r="H689" s="17">
        <f>G689/G688-1</f>
        <v>0</v>
      </c>
      <c r="I689" s="14">
        <f>MAX(I688,B689)</f>
        <v>0</v>
      </c>
      <c r="J689" s="17">
        <f>B689/I689-1</f>
        <v>0</v>
      </c>
    </row>
    <row r="690" spans="1:10">
      <c r="A690" s="6">
        <v>45205</v>
      </c>
      <c r="B690" s="14">
        <v>24342206.39018686</v>
      </c>
      <c r="D690" s="17">
        <f>B690/B689-1</f>
        <v>0</v>
      </c>
      <c r="E690" s="14">
        <v>15279193.86253373</v>
      </c>
      <c r="F690" s="17">
        <f>E690/E689-1</f>
        <v>0</v>
      </c>
      <c r="G690" s="14">
        <v>19152298.65723405</v>
      </c>
      <c r="H690" s="17">
        <f>G690/G689-1</f>
        <v>0</v>
      </c>
      <c r="I690" s="14">
        <f>MAX(I689,B690)</f>
        <v>0</v>
      </c>
      <c r="J690" s="17">
        <f>B690/I690-1</f>
        <v>0</v>
      </c>
    </row>
    <row r="691" spans="1:10">
      <c r="A691" s="6">
        <v>45208</v>
      </c>
      <c r="B691" s="14">
        <v>24169891.27837247</v>
      </c>
      <c r="D691" s="17">
        <f>B691/B690-1</f>
        <v>0</v>
      </c>
      <c r="E691" s="14">
        <v>15133345.58348357</v>
      </c>
      <c r="F691" s="17">
        <f>E691/E690-1</f>
        <v>0</v>
      </c>
      <c r="G691" s="14">
        <v>18899180.42309954</v>
      </c>
      <c r="H691" s="17">
        <f>G691/G690-1</f>
        <v>0</v>
      </c>
      <c r="I691" s="14">
        <f>MAX(I690,B691)</f>
        <v>0</v>
      </c>
      <c r="J691" s="17">
        <f>B691/I691-1</f>
        <v>0</v>
      </c>
    </row>
    <row r="692" spans="1:10">
      <c r="A692" s="6">
        <v>45209</v>
      </c>
      <c r="B692" s="14">
        <v>24368921.40183088</v>
      </c>
      <c r="D692" s="17">
        <f>B692/B691-1</f>
        <v>0</v>
      </c>
      <c r="E692" s="14">
        <v>15289263.83363809</v>
      </c>
      <c r="F692" s="17">
        <f>E692/E691-1</f>
        <v>0</v>
      </c>
      <c r="G692" s="14">
        <v>19119028.69318734</v>
      </c>
      <c r="H692" s="17">
        <f>G692/G691-1</f>
        <v>0</v>
      </c>
      <c r="I692" s="14">
        <f>MAX(I691,B692)</f>
        <v>0</v>
      </c>
      <c r="J692" s="17">
        <f>B692/I692-1</f>
        <v>0</v>
      </c>
    </row>
    <row r="693" spans="1:10">
      <c r="A693" s="6">
        <v>45210</v>
      </c>
      <c r="B693" s="14">
        <v>24490332.0215098</v>
      </c>
      <c r="D693" s="17">
        <f>B693/B692-1</f>
        <v>0</v>
      </c>
      <c r="E693" s="14">
        <v>15381886.43878418</v>
      </c>
      <c r="F693" s="17">
        <f>E693/E692-1</f>
        <v>0</v>
      </c>
      <c r="G693" s="14">
        <v>19224767.30137738</v>
      </c>
      <c r="H693" s="17">
        <f>G693/G692-1</f>
        <v>0</v>
      </c>
      <c r="I693" s="14">
        <f>MAX(I692,B693)</f>
        <v>0</v>
      </c>
      <c r="J693" s="17">
        <f>B693/I693-1</f>
        <v>0</v>
      </c>
    </row>
    <row r="694" spans="1:10">
      <c r="A694" s="6">
        <v>45211</v>
      </c>
      <c r="B694" s="14">
        <v>24626792.43994152</v>
      </c>
      <c r="D694" s="17">
        <f>B694/B693-1</f>
        <v>0</v>
      </c>
      <c r="E694" s="14">
        <v>15393531.55814544</v>
      </c>
      <c r="F694" s="17">
        <f>E694/E693-1</f>
        <v>0</v>
      </c>
      <c r="G694" s="14">
        <v>19295229.71001713</v>
      </c>
      <c r="H694" s="17">
        <f>G694/G693-1</f>
        <v>0</v>
      </c>
      <c r="I694" s="14">
        <f>MAX(I693,B694)</f>
        <v>0</v>
      </c>
      <c r="J694" s="17">
        <f>B694/I694-1</f>
        <v>0</v>
      </c>
    </row>
    <row r="695" spans="1:10">
      <c r="A695" s="6">
        <v>45212</v>
      </c>
      <c r="B695" s="14">
        <v>24721152.47957948</v>
      </c>
      <c r="D695" s="17">
        <f>B695/B694-1</f>
        <v>0</v>
      </c>
      <c r="E695" s="14">
        <v>15368328.76605585</v>
      </c>
      <c r="F695" s="17">
        <f>E695/E694-1</f>
        <v>0</v>
      </c>
      <c r="G695" s="14">
        <v>19285765.56572461</v>
      </c>
      <c r="H695" s="17">
        <f>G695/G694-1</f>
        <v>0</v>
      </c>
      <c r="I695" s="14">
        <f>MAX(I694,B695)</f>
        <v>0</v>
      </c>
      <c r="J695" s="17">
        <f>B695/I695-1</f>
        <v>0</v>
      </c>
    </row>
    <row r="696" spans="1:10">
      <c r="A696" s="6">
        <v>45215</v>
      </c>
      <c r="B696" s="14">
        <v>24894800.70284965</v>
      </c>
      <c r="D696" s="17">
        <f>B696/B695-1</f>
        <v>0</v>
      </c>
      <c r="E696" s="14">
        <v>15371402.81410007</v>
      </c>
      <c r="F696" s="17">
        <f>E696/E695-1</f>
        <v>0</v>
      </c>
      <c r="G696" s="14">
        <v>19322215.20452021</v>
      </c>
      <c r="H696" s="17">
        <f>G696/G695-1</f>
        <v>0</v>
      </c>
      <c r="I696" s="14">
        <f>MAX(I695,B696)</f>
        <v>0</v>
      </c>
      <c r="J696" s="17">
        <f>B696/I696-1</f>
        <v>0</v>
      </c>
    </row>
    <row r="697" spans="1:10">
      <c r="A697" s="6">
        <v>45216</v>
      </c>
      <c r="B697" s="14">
        <v>24879844.14833281</v>
      </c>
      <c r="D697" s="17">
        <f>B697/B696-1</f>
        <v>0</v>
      </c>
      <c r="E697" s="14">
        <v>15438151.67644083</v>
      </c>
      <c r="F697" s="17">
        <f>E697/E696-1</f>
        <v>0</v>
      </c>
      <c r="G697" s="14">
        <v>19422320.48494109</v>
      </c>
      <c r="H697" s="17">
        <f>G697/G696-1</f>
        <v>0</v>
      </c>
      <c r="I697" s="14">
        <f>MAX(I696,B697)</f>
        <v>0</v>
      </c>
      <c r="J697" s="17">
        <f>B697/I697-1</f>
        <v>0</v>
      </c>
    </row>
    <row r="698" spans="1:10">
      <c r="A698" s="6">
        <v>45217</v>
      </c>
      <c r="B698" s="14">
        <v>24780577.81768559</v>
      </c>
      <c r="D698" s="17">
        <f>B698/B697-1</f>
        <v>0</v>
      </c>
      <c r="E698" s="14">
        <v>15329560.04699438</v>
      </c>
      <c r="F698" s="17">
        <f>E698/E697-1</f>
        <v>0</v>
      </c>
      <c r="G698" s="14">
        <v>19281967.11783868</v>
      </c>
      <c r="H698" s="17">
        <f>G698/G697-1</f>
        <v>0</v>
      </c>
      <c r="I698" s="14">
        <f>MAX(I697,B698)</f>
        <v>0</v>
      </c>
      <c r="J698" s="17">
        <f>B698/I698-1</f>
        <v>0</v>
      </c>
    </row>
    <row r="699" spans="1:10">
      <c r="A699" s="6">
        <v>45218</v>
      </c>
      <c r="B699" s="14">
        <v>24782005.23689721</v>
      </c>
      <c r="D699" s="17">
        <f>B699/B698-1</f>
        <v>0</v>
      </c>
      <c r="E699" s="14">
        <v>15300680.92424682</v>
      </c>
      <c r="F699" s="17">
        <f>E699/E698-1</f>
        <v>0</v>
      </c>
      <c r="G699" s="14">
        <v>19274080.9360427</v>
      </c>
      <c r="H699" s="17">
        <f>G699/G698-1</f>
        <v>0</v>
      </c>
      <c r="I699" s="14">
        <f>MAX(I698,B699)</f>
        <v>0</v>
      </c>
      <c r="J699" s="17">
        <f>B699/I699-1</f>
        <v>0</v>
      </c>
    </row>
    <row r="700" spans="1:10">
      <c r="A700" s="6">
        <v>45219</v>
      </c>
      <c r="B700" s="14">
        <v>24615190.89485223</v>
      </c>
      <c r="D700" s="17">
        <f>B700/B699-1</f>
        <v>0</v>
      </c>
      <c r="E700" s="14">
        <v>15211473.11470721</v>
      </c>
      <c r="F700" s="17">
        <f>E700/E699-1</f>
        <v>0</v>
      </c>
      <c r="G700" s="14">
        <v>19101406.26095165</v>
      </c>
      <c r="H700" s="17">
        <f>G700/G699-1</f>
        <v>0</v>
      </c>
      <c r="I700" s="14">
        <f>MAX(I699,B700)</f>
        <v>0</v>
      </c>
      <c r="J700" s="17">
        <f>B700/I700-1</f>
        <v>0</v>
      </c>
    </row>
    <row r="701" spans="1:10">
      <c r="A701" s="6">
        <v>45222</v>
      </c>
      <c r="B701" s="14">
        <v>24145006.05255816</v>
      </c>
      <c r="D701" s="17">
        <f>B701/B700-1</f>
        <v>0</v>
      </c>
      <c r="E701" s="14">
        <v>14929292.32903859</v>
      </c>
      <c r="F701" s="17">
        <f>E701/E700-1</f>
        <v>0</v>
      </c>
      <c r="G701" s="14">
        <v>18575150.95168073</v>
      </c>
      <c r="H701" s="17">
        <f>G701/G700-1</f>
        <v>0</v>
      </c>
      <c r="I701" s="14">
        <f>MAX(I700,B701)</f>
        <v>0</v>
      </c>
      <c r="J701" s="17">
        <f>B701/I701-1</f>
        <v>0</v>
      </c>
    </row>
    <row r="702" spans="1:10">
      <c r="A702" s="6">
        <v>45224</v>
      </c>
      <c r="B702" s="14">
        <v>23723603.34475102</v>
      </c>
      <c r="D702" s="17">
        <f>B702/B701-1</f>
        <v>0</v>
      </c>
      <c r="E702" s="14">
        <v>14816943.4355274</v>
      </c>
      <c r="F702" s="17">
        <f>E702/E701-1</f>
        <v>0</v>
      </c>
      <c r="G702" s="14">
        <v>18461102.75226713</v>
      </c>
      <c r="H702" s="17">
        <f>G702/G701-1</f>
        <v>0</v>
      </c>
      <c r="I702" s="14">
        <f>MAX(I701,B702)</f>
        <v>0</v>
      </c>
      <c r="J702" s="17">
        <f>B702/I702-1</f>
        <v>0</v>
      </c>
    </row>
    <row r="703" spans="1:10">
      <c r="A703" s="6">
        <v>45225</v>
      </c>
      <c r="B703" s="14">
        <v>23444535.5439149</v>
      </c>
      <c r="D703" s="17">
        <f>B703/B702-1</f>
        <v>0</v>
      </c>
      <c r="E703" s="14">
        <v>14636113.37683803</v>
      </c>
      <c r="F703" s="17">
        <f>E703/E702-1</f>
        <v>0</v>
      </c>
      <c r="G703" s="14">
        <v>18281979.21112985</v>
      </c>
      <c r="H703" s="17">
        <f>G703/G702-1</f>
        <v>0</v>
      </c>
      <c r="I703" s="14">
        <f>MAX(I702,B703)</f>
        <v>0</v>
      </c>
      <c r="J703" s="17">
        <f>B703/I703-1</f>
        <v>0</v>
      </c>
    </row>
    <row r="704" spans="1:10">
      <c r="A704" s="6">
        <v>45226</v>
      </c>
      <c r="B704" s="14">
        <v>23919753.71511346</v>
      </c>
      <c r="D704" s="17">
        <f>B704/B703-1</f>
        <v>0</v>
      </c>
      <c r="E704" s="14">
        <v>14822464.24038172</v>
      </c>
      <c r="F704" s="17">
        <f>E704/E703-1</f>
        <v>0</v>
      </c>
      <c r="G704" s="14">
        <v>18571665.06126914</v>
      </c>
      <c r="H704" s="17">
        <f>G704/G703-1</f>
        <v>0</v>
      </c>
      <c r="I704" s="14">
        <f>MAX(I703,B704)</f>
        <v>0</v>
      </c>
      <c r="J704" s="17">
        <f>B704/I704-1</f>
        <v>0</v>
      </c>
    </row>
    <row r="705" spans="1:10">
      <c r="A705" s="6">
        <v>45229</v>
      </c>
      <c r="B705" s="14">
        <v>23851052.02800009</v>
      </c>
      <c r="D705" s="17">
        <f>B705/B704-1</f>
        <v>0</v>
      </c>
      <c r="E705" s="14">
        <v>14876791.55476968</v>
      </c>
      <c r="F705" s="17">
        <f>E705/E704-1</f>
        <v>0</v>
      </c>
      <c r="G705" s="14">
        <v>18591423.06491534</v>
      </c>
      <c r="H705" s="17">
        <f>G705/G704-1</f>
        <v>0</v>
      </c>
      <c r="I705" s="14">
        <f>MAX(I704,B705)</f>
        <v>0</v>
      </c>
      <c r="J705" s="17">
        <f>B705/I705-1</f>
        <v>0</v>
      </c>
    </row>
    <row r="706" spans="1:10">
      <c r="A706" s="6">
        <v>45230</v>
      </c>
      <c r="B706" s="14">
        <v>23895708.1848409</v>
      </c>
      <c r="D706" s="17">
        <f>B706/B705-1</f>
        <v>0</v>
      </c>
      <c r="E706" s="14">
        <v>14855396.22997469</v>
      </c>
      <c r="F706" s="17">
        <f>E706/E705-1</f>
        <v>0</v>
      </c>
      <c r="G706" s="14">
        <v>18605479.62743144</v>
      </c>
      <c r="H706" s="17">
        <f>G706/G705-1</f>
        <v>0</v>
      </c>
      <c r="I706" s="14">
        <f>MAX(I705,B706)</f>
        <v>0</v>
      </c>
      <c r="J706" s="17">
        <f>B706/I706-1</f>
        <v>0</v>
      </c>
    </row>
    <row r="707" spans="1:10">
      <c r="A707" s="6">
        <v>45231</v>
      </c>
      <c r="B707" s="14">
        <v>23640577.41695185</v>
      </c>
      <c r="D707" s="17">
        <f>B707/B706-1</f>
        <v>0</v>
      </c>
      <c r="E707" s="14">
        <v>14795845.60624312</v>
      </c>
      <c r="F707" s="17">
        <f>E707/E706-1</f>
        <v>0</v>
      </c>
      <c r="G707" s="14">
        <v>18530331.78320089</v>
      </c>
      <c r="H707" s="17">
        <f>G707/G706-1</f>
        <v>0</v>
      </c>
      <c r="I707" s="14">
        <f>MAX(I706,B707)</f>
        <v>0</v>
      </c>
      <c r="J707" s="17">
        <f>B707/I707-1</f>
        <v>0</v>
      </c>
    </row>
    <row r="708" spans="1:10">
      <c r="A708" s="6">
        <v>45232</v>
      </c>
      <c r="B708" s="14">
        <v>24009429.35430028</v>
      </c>
      <c r="D708" s="17">
        <f>B708/B707-1</f>
        <v>0</v>
      </c>
      <c r="E708" s="14">
        <v>14936127.91701097</v>
      </c>
      <c r="F708" s="17">
        <f>E708/E707-1</f>
        <v>0</v>
      </c>
      <c r="G708" s="14">
        <v>18747615.84218479</v>
      </c>
      <c r="H708" s="17">
        <f>G708/G707-1</f>
        <v>0</v>
      </c>
      <c r="I708" s="14">
        <f>MAX(I707,B708)</f>
        <v>0</v>
      </c>
      <c r="J708" s="17">
        <f>B708/I708-1</f>
        <v>0</v>
      </c>
    </row>
    <row r="709" spans="1:10">
      <c r="A709" s="6">
        <v>45233</v>
      </c>
      <c r="B709" s="14">
        <v>24071646.05669951</v>
      </c>
      <c r="D709" s="17">
        <f>B709/B708-1</f>
        <v>0</v>
      </c>
      <c r="E709" s="14">
        <v>15034240.76895224</v>
      </c>
      <c r="F709" s="17">
        <f>E709/E708-1</f>
        <v>0</v>
      </c>
      <c r="G709" s="14">
        <v>18875061.30819713</v>
      </c>
      <c r="H709" s="17">
        <f>G709/G708-1</f>
        <v>0</v>
      </c>
      <c r="I709" s="14">
        <f>MAX(I708,B709)</f>
        <v>0</v>
      </c>
      <c r="J709" s="17">
        <f>B709/I709-1</f>
        <v>0</v>
      </c>
    </row>
    <row r="710" spans="1:10">
      <c r="A710" s="6">
        <v>45236</v>
      </c>
      <c r="B710" s="14">
        <v>24319915.99367331</v>
      </c>
      <c r="D710" s="17">
        <f>B710/B709-1</f>
        <v>0</v>
      </c>
      <c r="E710" s="14">
        <v>15175077.86532286</v>
      </c>
      <c r="F710" s="17">
        <f>E710/E709-1</f>
        <v>0</v>
      </c>
      <c r="G710" s="14">
        <v>19030559.62350938</v>
      </c>
      <c r="H710" s="17">
        <f>G710/G709-1</f>
        <v>0</v>
      </c>
      <c r="I710" s="14">
        <f>MAX(I709,B710)</f>
        <v>0</v>
      </c>
      <c r="J710" s="17">
        <f>B710/I710-1</f>
        <v>0</v>
      </c>
    </row>
    <row r="711" spans="1:10">
      <c r="A711" s="6">
        <v>45237</v>
      </c>
      <c r="B711" s="14">
        <v>24485650.28568982</v>
      </c>
      <c r="D711" s="17">
        <f>B711/B710-1</f>
        <v>0</v>
      </c>
      <c r="E711" s="14">
        <v>15200916.64186747</v>
      </c>
      <c r="F711" s="17">
        <f>E711/E710-1</f>
        <v>0</v>
      </c>
      <c r="G711" s="14">
        <v>19090973.72236703</v>
      </c>
      <c r="H711" s="17">
        <f>G711/G710-1</f>
        <v>0</v>
      </c>
      <c r="I711" s="14">
        <f>MAX(I710,B711)</f>
        <v>0</v>
      </c>
      <c r="J711" s="17">
        <f>B711/I711-1</f>
        <v>0</v>
      </c>
    </row>
    <row r="712" spans="1:10">
      <c r="A712" s="6">
        <v>45238</v>
      </c>
      <c r="B712" s="14">
        <v>24542840.92616324</v>
      </c>
      <c r="D712" s="17">
        <f>B712/B711-1</f>
        <v>0</v>
      </c>
      <c r="E712" s="14">
        <v>15265227.58038286</v>
      </c>
      <c r="F712" s="17">
        <f>E712/E711-1</f>
        <v>0</v>
      </c>
      <c r="G712" s="14">
        <v>19231496.85799155</v>
      </c>
      <c r="H712" s="17">
        <f>G712/G711-1</f>
        <v>0</v>
      </c>
      <c r="I712" s="14">
        <f>MAX(I711,B712)</f>
        <v>0</v>
      </c>
      <c r="J712" s="17">
        <f>B712/I712-1</f>
        <v>0</v>
      </c>
    </row>
    <row r="713" spans="1:10">
      <c r="A713" s="6">
        <v>45239</v>
      </c>
      <c r="B713" s="14">
        <v>24642046.4902163</v>
      </c>
      <c r="D713" s="17">
        <f>B713/B712-1</f>
        <v>0</v>
      </c>
      <c r="E713" s="14">
        <v>15229870.24048896</v>
      </c>
      <c r="F713" s="17">
        <f>E713/E712-1</f>
        <v>0</v>
      </c>
      <c r="G713" s="14">
        <v>19188306.10931947</v>
      </c>
      <c r="H713" s="17">
        <f>G713/G712-1</f>
        <v>0</v>
      </c>
      <c r="I713" s="14">
        <f>MAX(I712,B713)</f>
        <v>0</v>
      </c>
      <c r="J713" s="17">
        <f>B713/I713-1</f>
        <v>0</v>
      </c>
    </row>
    <row r="714" spans="1:10">
      <c r="A714" s="6">
        <v>45240</v>
      </c>
      <c r="B714" s="14">
        <v>24828838.04146175</v>
      </c>
      <c r="D714" s="17">
        <f>B714/B713-1</f>
        <v>0</v>
      </c>
      <c r="E714" s="14">
        <v>15263939.89026608</v>
      </c>
      <c r="F714" s="17">
        <f>E714/E713-1</f>
        <v>0</v>
      </c>
      <c r="G714" s="14">
        <v>19234002.2320499</v>
      </c>
      <c r="H714" s="17">
        <f>G714/G713-1</f>
        <v>0</v>
      </c>
      <c r="I714" s="14">
        <f>MAX(I713,B714)</f>
        <v>0</v>
      </c>
      <c r="J714" s="17">
        <f>B714/I714-1</f>
        <v>0</v>
      </c>
    </row>
    <row r="715" spans="1:10">
      <c r="A715" s="6">
        <v>45243</v>
      </c>
      <c r="B715" s="14">
        <v>25051240.03771382</v>
      </c>
      <c r="D715" s="17">
        <f>B715/B714-1</f>
        <v>0</v>
      </c>
      <c r="E715" s="14">
        <v>15319507.46025063</v>
      </c>
      <c r="F715" s="17">
        <f>E715/E714-1</f>
        <v>0</v>
      </c>
      <c r="G715" s="14">
        <v>19361083.28948456</v>
      </c>
      <c r="H715" s="17">
        <f>G715/G714-1</f>
        <v>0</v>
      </c>
      <c r="I715" s="14">
        <f>MAX(I714,B715)</f>
        <v>0</v>
      </c>
      <c r="J715" s="17">
        <f>B715/I715-1</f>
        <v>0</v>
      </c>
    </row>
    <row r="716" spans="1:10">
      <c r="A716" s="6">
        <v>45245</v>
      </c>
      <c r="B716" s="14">
        <v>25139319.94356374</v>
      </c>
      <c r="D716" s="17">
        <f>B716/B715-1</f>
        <v>0</v>
      </c>
      <c r="E716" s="14">
        <v>15487819.71592988</v>
      </c>
      <c r="F716" s="17">
        <f>E716/E715-1</f>
        <v>0</v>
      </c>
      <c r="G716" s="14">
        <v>19545807.18853562</v>
      </c>
      <c r="H716" s="17">
        <f>G716/G715-1</f>
        <v>0</v>
      </c>
      <c r="I716" s="14">
        <f>MAX(I715,B716)</f>
        <v>0</v>
      </c>
      <c r="J716" s="17">
        <f>B716/I716-1</f>
        <v>0</v>
      </c>
    </row>
    <row r="717" spans="1:10">
      <c r="A717" s="6">
        <v>45246</v>
      </c>
      <c r="B717" s="14">
        <v>25282192.45405465</v>
      </c>
      <c r="D717" s="17">
        <f>B717/B716-1</f>
        <v>0</v>
      </c>
      <c r="E717" s="14">
        <v>15563792.386313</v>
      </c>
      <c r="F717" s="17">
        <f>E717/E716-1</f>
        <v>0</v>
      </c>
      <c r="G717" s="14">
        <v>19636749.93652048</v>
      </c>
      <c r="H717" s="17">
        <f>G717/G716-1</f>
        <v>0</v>
      </c>
      <c r="I717" s="14">
        <f>MAX(I716,B717)</f>
        <v>0</v>
      </c>
      <c r="J717" s="17">
        <f>B717/I717-1</f>
        <v>0</v>
      </c>
    </row>
    <row r="718" spans="1:10">
      <c r="A718" s="6">
        <v>45247</v>
      </c>
      <c r="B718" s="14">
        <v>25325760.26027304</v>
      </c>
      <c r="D718" s="17">
        <f>B718/B717-1</f>
        <v>0</v>
      </c>
      <c r="E718" s="14">
        <v>15571080.29874973</v>
      </c>
      <c r="F718" s="17">
        <f>E718/E717-1</f>
        <v>0</v>
      </c>
      <c r="G718" s="14">
        <v>19699181.91113166</v>
      </c>
      <c r="H718" s="17">
        <f>G718/G717-1</f>
        <v>0</v>
      </c>
      <c r="I718" s="14">
        <f>MAX(I717,B718)</f>
        <v>0</v>
      </c>
      <c r="J718" s="17">
        <f>B718/I718-1</f>
        <v>0</v>
      </c>
    </row>
    <row r="719" spans="1:10">
      <c r="A719" s="6">
        <v>45250</v>
      </c>
      <c r="B719" s="14">
        <v>25369973.97938342</v>
      </c>
      <c r="D719" s="17">
        <f>B719/B718-1</f>
        <v>0</v>
      </c>
      <c r="E719" s="14">
        <v>15548068.0545193</v>
      </c>
      <c r="F719" s="17">
        <f>E719/E718-1</f>
        <v>0</v>
      </c>
      <c r="G719" s="14">
        <v>19711752.63147399</v>
      </c>
      <c r="H719" s="17">
        <f>G719/G718-1</f>
        <v>0</v>
      </c>
      <c r="I719" s="14">
        <f>MAX(I718,B719)</f>
        <v>0</v>
      </c>
      <c r="J719" s="17">
        <f>B719/I719-1</f>
        <v>0</v>
      </c>
    </row>
    <row r="720" spans="1:10">
      <c r="A720" s="6">
        <v>45251</v>
      </c>
      <c r="B720" s="14">
        <v>25280370.92823483</v>
      </c>
      <c r="D720" s="17">
        <f>B720/B719-1</f>
        <v>0</v>
      </c>
      <c r="E720" s="14">
        <v>15596539.33730021</v>
      </c>
      <c r="F720" s="17">
        <f>E720/E719-1</f>
        <v>0</v>
      </c>
      <c r="G720" s="14">
        <v>19756552.44622091</v>
      </c>
      <c r="H720" s="17">
        <f>G720/G719-1</f>
        <v>0</v>
      </c>
      <c r="I720" s="14">
        <f>MAX(I719,B720)</f>
        <v>0</v>
      </c>
      <c r="J720" s="17">
        <f>B720/I720-1</f>
        <v>0</v>
      </c>
    </row>
    <row r="721" spans="1:10">
      <c r="A721" s="6">
        <v>45252</v>
      </c>
      <c r="B721" s="14">
        <v>25631246.37617996</v>
      </c>
      <c r="D721" s="17">
        <f>B721/B720-1</f>
        <v>0</v>
      </c>
      <c r="E721" s="14">
        <v>15597370.16198583</v>
      </c>
      <c r="F721" s="17">
        <f>E721/E720-1</f>
        <v>0</v>
      </c>
      <c r="G721" s="14">
        <v>19724818.25760974</v>
      </c>
      <c r="H721" s="17">
        <f>G721/G720-1</f>
        <v>0</v>
      </c>
      <c r="I721" s="14">
        <f>MAX(I720,B721)</f>
        <v>0</v>
      </c>
      <c r="J721" s="17">
        <f>B721/I721-1</f>
        <v>0</v>
      </c>
    </row>
    <row r="722" spans="1:10">
      <c r="A722" s="6">
        <v>45253</v>
      </c>
      <c r="B722" s="14">
        <v>25602910.00184359</v>
      </c>
      <c r="D722" s="17">
        <f>B722/B721-1</f>
        <v>0</v>
      </c>
      <c r="E722" s="14">
        <v>15608466.34427198</v>
      </c>
      <c r="F722" s="17">
        <f>E722/E721-1</f>
        <v>0</v>
      </c>
      <c r="G722" s="14">
        <v>19772961.02815171</v>
      </c>
      <c r="H722" s="17">
        <f>G722/G721-1</f>
        <v>0</v>
      </c>
      <c r="I722" s="14">
        <f>MAX(I721,B722)</f>
        <v>0</v>
      </c>
      <c r="J722" s="17">
        <f>B722/I722-1</f>
        <v>0</v>
      </c>
    </row>
    <row r="723" spans="1:10">
      <c r="A723" s="6">
        <v>45254</v>
      </c>
      <c r="B723" s="14">
        <v>25545710.73720861</v>
      </c>
      <c r="D723" s="17">
        <f>B723/B722-1</f>
        <v>0</v>
      </c>
      <c r="E723" s="14">
        <v>15612837.20038445</v>
      </c>
      <c r="F723" s="17">
        <f>E723/E722-1</f>
        <v>0</v>
      </c>
      <c r="G723" s="14">
        <v>19800582.98103825</v>
      </c>
      <c r="H723" s="17">
        <f>G723/G722-1</f>
        <v>0</v>
      </c>
      <c r="I723" s="14">
        <f>MAX(I722,B723)</f>
        <v>0</v>
      </c>
      <c r="J723" s="17">
        <f>B723/I723-1</f>
        <v>0</v>
      </c>
    </row>
    <row r="724" spans="1:10">
      <c r="A724" s="6">
        <v>45258</v>
      </c>
      <c r="B724" s="14">
        <v>25588467.62424257</v>
      </c>
      <c r="D724" s="17">
        <f>B724/B723-1</f>
        <v>0</v>
      </c>
      <c r="E724" s="14">
        <v>15700567.60986753</v>
      </c>
      <c r="F724" s="17">
        <f>E724/E723-1</f>
        <v>0</v>
      </c>
      <c r="G724" s="14">
        <v>19916114.91595015</v>
      </c>
      <c r="H724" s="17">
        <f>G724/G723-1</f>
        <v>0</v>
      </c>
      <c r="I724" s="14">
        <f>MAX(I723,B724)</f>
        <v>0</v>
      </c>
      <c r="J724" s="17">
        <f>B724/I724-1</f>
        <v>0</v>
      </c>
    </row>
    <row r="725" spans="1:10">
      <c r="A725" s="6">
        <v>45259</v>
      </c>
      <c r="B725" s="14">
        <v>25836396.01112652</v>
      </c>
      <c r="D725" s="17">
        <f>B725/B724-1</f>
        <v>0</v>
      </c>
      <c r="E725" s="14">
        <v>15844941.24720613</v>
      </c>
      <c r="F725" s="17">
        <f>E725/E724-1</f>
        <v>0</v>
      </c>
      <c r="G725" s="14">
        <v>20064036.58258596</v>
      </c>
      <c r="H725" s="17">
        <f>G725/G724-1</f>
        <v>0</v>
      </c>
      <c r="I725" s="14">
        <f>MAX(I724,B725)</f>
        <v>0</v>
      </c>
      <c r="J725" s="17">
        <f>B725/I725-1</f>
        <v>0</v>
      </c>
    </row>
    <row r="726" spans="1:10">
      <c r="A726" s="6">
        <v>45260</v>
      </c>
      <c r="B726" s="14">
        <v>26096706.61677311</v>
      </c>
      <c r="D726" s="17">
        <f>B726/B725-1</f>
        <v>0</v>
      </c>
      <c r="E726" s="14">
        <v>15919901.79717969</v>
      </c>
      <c r="F726" s="17">
        <f>E726/E725-1</f>
        <v>0</v>
      </c>
      <c r="G726" s="14">
        <v>20204793.67878138</v>
      </c>
      <c r="H726" s="17">
        <f>G726/G725-1</f>
        <v>0</v>
      </c>
      <c r="I726" s="14">
        <f>MAX(I725,B726)</f>
        <v>0</v>
      </c>
      <c r="J726" s="17">
        <f>B726/I726-1</f>
        <v>0</v>
      </c>
    </row>
    <row r="727" spans="1:10">
      <c r="A727" s="6">
        <v>45261</v>
      </c>
      <c r="B727" s="14">
        <v>26718791.45572126</v>
      </c>
      <c r="D727" s="17">
        <f>B727/B726-1</f>
        <v>0</v>
      </c>
      <c r="E727" s="14">
        <v>16033413.24739394</v>
      </c>
      <c r="F727" s="17">
        <f>E727/E726-1</f>
        <v>0</v>
      </c>
      <c r="G727" s="14">
        <v>20347856.19165193</v>
      </c>
      <c r="H727" s="17">
        <f>G727/G726-1</f>
        <v>0</v>
      </c>
      <c r="I727" s="14">
        <f>MAX(I726,B727)</f>
        <v>0</v>
      </c>
      <c r="J727" s="17">
        <f>B727/I727-1</f>
        <v>0</v>
      </c>
    </row>
    <row r="728" spans="1:10">
      <c r="A728" s="6">
        <v>45264</v>
      </c>
      <c r="B728" s="14">
        <v>27302106.84742935</v>
      </c>
      <c r="D728" s="17">
        <f>B728/B727-1</f>
        <v>0</v>
      </c>
      <c r="E728" s="14">
        <v>16329039.2770589</v>
      </c>
      <c r="F728" s="17">
        <f>E728/E727-1</f>
        <v>0</v>
      </c>
      <c r="G728" s="14">
        <v>20649306.0702916</v>
      </c>
      <c r="H728" s="17">
        <f>G728/G727-1</f>
        <v>0</v>
      </c>
      <c r="I728" s="14">
        <f>MAX(I727,B728)</f>
        <v>0</v>
      </c>
      <c r="J728" s="17">
        <f>B728/I728-1</f>
        <v>0</v>
      </c>
    </row>
    <row r="729" spans="1:10">
      <c r="A729" s="6">
        <v>45265</v>
      </c>
      <c r="B729" s="14">
        <v>27553864.20513351</v>
      </c>
      <c r="D729" s="17">
        <f>B729/B728-1</f>
        <v>0</v>
      </c>
      <c r="E729" s="14">
        <v>16453777.86116161</v>
      </c>
      <c r="F729" s="17">
        <f>E729/E728-1</f>
        <v>0</v>
      </c>
      <c r="G729" s="14">
        <v>20780557.31601756</v>
      </c>
      <c r="H729" s="17">
        <f>G729/G728-1</f>
        <v>0</v>
      </c>
      <c r="I729" s="14">
        <f>MAX(I728,B729)</f>
        <v>0</v>
      </c>
      <c r="J729" s="17">
        <f>B729/I729-1</f>
        <v>0</v>
      </c>
    </row>
    <row r="730" spans="1:10">
      <c r="A730" s="6">
        <v>45266</v>
      </c>
      <c r="B730" s="14">
        <v>27739815.6242838</v>
      </c>
      <c r="D730" s="17">
        <f>B730/B729-1</f>
        <v>0</v>
      </c>
      <c r="E730" s="14">
        <v>16535508.25124199</v>
      </c>
      <c r="F730" s="17">
        <f>E730/E729-1</f>
        <v>0</v>
      </c>
      <c r="G730" s="14">
        <v>20883588.37243617</v>
      </c>
      <c r="H730" s="17">
        <f>G730/G729-1</f>
        <v>0</v>
      </c>
      <c r="I730" s="14">
        <f>MAX(I729,B730)</f>
        <v>0</v>
      </c>
      <c r="J730" s="17">
        <f>B730/I730-1</f>
        <v>0</v>
      </c>
    </row>
    <row r="731" spans="1:10">
      <c r="A731" s="6">
        <v>45267</v>
      </c>
      <c r="B731" s="14">
        <v>27603036.34462731</v>
      </c>
      <c r="D731" s="17">
        <f>B731/B730-1</f>
        <v>0</v>
      </c>
      <c r="E731" s="14">
        <v>16557407.29518746</v>
      </c>
      <c r="F731" s="17">
        <f>E731/E730-1</f>
        <v>0</v>
      </c>
      <c r="G731" s="14">
        <v>21004655.55632578</v>
      </c>
      <c r="H731" s="17">
        <f>G731/G730-1</f>
        <v>0</v>
      </c>
      <c r="I731" s="14">
        <f>MAX(I730,B731)</f>
        <v>0</v>
      </c>
      <c r="J731" s="17">
        <f>B731/I731-1</f>
        <v>0</v>
      </c>
    </row>
    <row r="732" spans="1:10">
      <c r="A732" s="6">
        <v>45268</v>
      </c>
      <c r="B732" s="14">
        <v>27738755.24958221</v>
      </c>
      <c r="D732" s="17">
        <f>B732/B731-1</f>
        <v>0</v>
      </c>
      <c r="E732" s="14">
        <v>16557886.25473643</v>
      </c>
      <c r="F732" s="17">
        <f>E732/E731-1</f>
        <v>0</v>
      </c>
      <c r="G732" s="14">
        <v>20883689.3783981</v>
      </c>
      <c r="H732" s="17">
        <f>G732/G731-1</f>
        <v>0</v>
      </c>
      <c r="I732" s="14">
        <f>MAX(I731,B732)</f>
        <v>0</v>
      </c>
      <c r="J732" s="17">
        <f>B732/I732-1</f>
        <v>0</v>
      </c>
    </row>
    <row r="733" spans="1:10">
      <c r="A733" s="6">
        <v>45271</v>
      </c>
      <c r="B733" s="14">
        <v>27889812.38733695</v>
      </c>
      <c r="D733" s="17">
        <f>B733/B732-1</f>
        <v>0</v>
      </c>
      <c r="E733" s="14">
        <v>16617722.3945212</v>
      </c>
      <c r="F733" s="17">
        <f>E733/E732-1</f>
        <v>0</v>
      </c>
      <c r="G733" s="14">
        <v>21014217.03232886</v>
      </c>
      <c r="H733" s="17">
        <f>G733/G732-1</f>
        <v>0</v>
      </c>
      <c r="I733" s="14">
        <f>MAX(I732,B733)</f>
        <v>0</v>
      </c>
      <c r="J733" s="17">
        <f>B733/I733-1</f>
        <v>0</v>
      </c>
    </row>
    <row r="734" spans="1:10">
      <c r="A734" s="6">
        <v>45272</v>
      </c>
      <c r="B734" s="14">
        <v>27703335.99335611</v>
      </c>
      <c r="D734" s="17">
        <f>B734/B733-1</f>
        <v>0</v>
      </c>
      <c r="E734" s="14">
        <v>16544679.01174472</v>
      </c>
      <c r="F734" s="17">
        <f>E734/E733-1</f>
        <v>0</v>
      </c>
      <c r="G734" s="14">
        <v>20951609.5644155</v>
      </c>
      <c r="H734" s="17">
        <f>G734/G733-1</f>
        <v>0</v>
      </c>
      <c r="I734" s="14">
        <f>MAX(I733,B734)</f>
        <v>0</v>
      </c>
      <c r="J734" s="17">
        <f>B734/I734-1</f>
        <v>0</v>
      </c>
    </row>
    <row r="735" spans="1:10">
      <c r="A735" s="6">
        <v>45273</v>
      </c>
      <c r="B735" s="14">
        <v>28342698.03878335</v>
      </c>
      <c r="D735" s="17">
        <f>B735/B734-1</f>
        <v>0</v>
      </c>
      <c r="E735" s="14">
        <v>16602704.45460054</v>
      </c>
      <c r="F735" s="17">
        <f>E735/E734-1</f>
        <v>0</v>
      </c>
      <c r="G735" s="14">
        <v>21081133.74111399</v>
      </c>
      <c r="H735" s="17">
        <f>G735/G734-1</f>
        <v>0</v>
      </c>
      <c r="I735" s="14">
        <f>MAX(I734,B735)</f>
        <v>0</v>
      </c>
      <c r="J735" s="17">
        <f>B735/I735-1</f>
        <v>0</v>
      </c>
    </row>
    <row r="736" spans="1:10">
      <c r="A736" s="6">
        <v>45274</v>
      </c>
      <c r="B736" s="14">
        <v>28412549.00534648</v>
      </c>
      <c r="D736" s="17">
        <f>B736/B735-1</f>
        <v>0</v>
      </c>
      <c r="E736" s="14">
        <v>16800410.39732043</v>
      </c>
      <c r="F736" s="17">
        <f>E736/E735-1</f>
        <v>0</v>
      </c>
      <c r="G736" s="14">
        <v>21311363.88645731</v>
      </c>
      <c r="H736" s="17">
        <f>G736/G735-1</f>
        <v>0</v>
      </c>
      <c r="I736" s="14">
        <f>MAX(I735,B736)</f>
        <v>0</v>
      </c>
      <c r="J736" s="17">
        <f>B736/I736-1</f>
        <v>0</v>
      </c>
    </row>
    <row r="737" spans="1:10">
      <c r="A737" s="6">
        <v>45275</v>
      </c>
      <c r="B737" s="14">
        <v>28577450.16948872</v>
      </c>
      <c r="D737" s="17">
        <f>B737/B736-1</f>
        <v>0</v>
      </c>
      <c r="E737" s="14">
        <v>16952800.63219727</v>
      </c>
      <c r="F737" s="17">
        <f>E737/E736-1</f>
        <v>0</v>
      </c>
      <c r="G737" s="14">
        <v>21415499.49097717</v>
      </c>
      <c r="H737" s="17">
        <f>G737/G736-1</f>
        <v>0</v>
      </c>
      <c r="I737" s="14">
        <f>MAX(I736,B737)</f>
        <v>0</v>
      </c>
      <c r="J737" s="17">
        <f>B737/I737-1</f>
        <v>0</v>
      </c>
    </row>
    <row r="738" spans="1:10">
      <c r="A738" s="6">
        <v>45278</v>
      </c>
      <c r="B738" s="14">
        <v>28551620.55398025</v>
      </c>
      <c r="D738" s="17">
        <f>B738/B737-1</f>
        <v>0</v>
      </c>
      <c r="E738" s="14">
        <v>16962905.58062943</v>
      </c>
      <c r="F738" s="17">
        <f>E738/E737-1</f>
        <v>0</v>
      </c>
      <c r="G738" s="14">
        <v>21496935.20059047</v>
      </c>
      <c r="H738" s="17">
        <f>G738/G737-1</f>
        <v>0</v>
      </c>
      <c r="I738" s="14">
        <f>MAX(I737,B738)</f>
        <v>0</v>
      </c>
      <c r="J738" s="17">
        <f>B738/I738-1</f>
        <v>0</v>
      </c>
    </row>
    <row r="739" spans="1:10">
      <c r="A739" s="6">
        <v>45279</v>
      </c>
      <c r="B739" s="14">
        <v>28661098.45556673</v>
      </c>
      <c r="D739" s="17">
        <f>B739/B738-1</f>
        <v>0</v>
      </c>
      <c r="E739" s="14">
        <v>16975844.4720805</v>
      </c>
      <c r="F739" s="17">
        <f>E739/E738-1</f>
        <v>0</v>
      </c>
      <c r="G739" s="14">
        <v>21504003.81984418</v>
      </c>
      <c r="H739" s="17">
        <f>G739/G738-1</f>
        <v>0</v>
      </c>
      <c r="I739" s="14">
        <f>MAX(I738,B739)</f>
        <v>0</v>
      </c>
      <c r="J739" s="17">
        <f>B739/I739-1</f>
        <v>0</v>
      </c>
    </row>
    <row r="740" spans="1:10">
      <c r="A740" s="6">
        <v>45280</v>
      </c>
      <c r="B740" s="14">
        <v>27864815.28985864</v>
      </c>
      <c r="D740" s="17">
        <f>B740/B739-1</f>
        <v>0</v>
      </c>
      <c r="E740" s="14">
        <v>16631454.28868818</v>
      </c>
      <c r="F740" s="17">
        <f>E740/E739-1</f>
        <v>0</v>
      </c>
      <c r="G740" s="14">
        <v>20893323.39453587</v>
      </c>
      <c r="H740" s="17">
        <f>G740/G739-1</f>
        <v>0</v>
      </c>
      <c r="I740" s="14">
        <f>MAX(I739,B740)</f>
        <v>0</v>
      </c>
      <c r="J740" s="17">
        <f>B740/I740-1</f>
        <v>0</v>
      </c>
    </row>
    <row r="741" spans="1:10">
      <c r="A741" s="6">
        <v>45281</v>
      </c>
      <c r="B741" s="14">
        <v>28151286.42396376</v>
      </c>
      <c r="D741" s="17">
        <f>B741/B740-1</f>
        <v>0</v>
      </c>
      <c r="E741" s="14">
        <v>16776028.04026971</v>
      </c>
      <c r="F741" s="17">
        <f>E741/E740-1</f>
        <v>0</v>
      </c>
      <c r="G741" s="14">
        <v>21161210.00202616</v>
      </c>
      <c r="H741" s="17">
        <f>G741/G740-1</f>
        <v>0</v>
      </c>
      <c r="I741" s="14">
        <f>MAX(I740,B741)</f>
        <v>0</v>
      </c>
      <c r="J741" s="17">
        <f>B741/I741-1</f>
        <v>0</v>
      </c>
    </row>
    <row r="742" spans="1:10">
      <c r="A742" s="6">
        <v>45282</v>
      </c>
      <c r="B742" s="14">
        <v>28203651.52220866</v>
      </c>
      <c r="D742" s="17">
        <f>B742/B741-1</f>
        <v>0</v>
      </c>
      <c r="E742" s="14">
        <v>16876816.72416491</v>
      </c>
      <c r="F742" s="17">
        <f>E742/E741-1</f>
        <v>0</v>
      </c>
      <c r="G742" s="14">
        <v>21353723.74340113</v>
      </c>
      <c r="H742" s="17">
        <f>G742/G741-1</f>
        <v>0</v>
      </c>
      <c r="I742" s="14">
        <f>MAX(I741,B742)</f>
        <v>0</v>
      </c>
      <c r="J742" s="17">
        <f>B742/I742-1</f>
        <v>0</v>
      </c>
    </row>
    <row r="743" spans="1:10">
      <c r="A743" s="6">
        <v>45286</v>
      </c>
      <c r="B743" s="14">
        <v>28561133.9084274</v>
      </c>
      <c r="D743" s="17">
        <f>B743/B742-1</f>
        <v>0</v>
      </c>
      <c r="E743" s="14">
        <v>16961009.72710747</v>
      </c>
      <c r="F743" s="17">
        <f>E743/E742-1</f>
        <v>0</v>
      </c>
      <c r="G743" s="14">
        <v>21475548.68153042</v>
      </c>
      <c r="H743" s="17">
        <f>G743/G742-1</f>
        <v>0</v>
      </c>
      <c r="I743" s="14">
        <f>MAX(I742,B743)</f>
        <v>0</v>
      </c>
      <c r="J743" s="17">
        <f>B743/I743-1</f>
        <v>0</v>
      </c>
    </row>
    <row r="744" spans="1:10">
      <c r="A744" s="6">
        <v>45287</v>
      </c>
      <c r="B744" s="14">
        <v>28477274.92986576</v>
      </c>
      <c r="D744" s="17">
        <f>B744/B743-1</f>
        <v>0</v>
      </c>
      <c r="E744" s="14">
        <v>17092995.97501017</v>
      </c>
      <c r="F744" s="17">
        <f>E744/E743-1</f>
        <v>0</v>
      </c>
      <c r="G744" s="14">
        <v>21592736.64797218</v>
      </c>
      <c r="H744" s="17">
        <f>G744/G743-1</f>
        <v>0</v>
      </c>
      <c r="I744" s="14">
        <f>MAX(I743,B744)</f>
        <v>0</v>
      </c>
      <c r="J744" s="17">
        <f>B744/I744-1</f>
        <v>0</v>
      </c>
    </row>
    <row r="745" spans="1:10">
      <c r="A745" s="6">
        <v>45288</v>
      </c>
      <c r="B745" s="14">
        <v>28601625.99042326</v>
      </c>
      <c r="D745" s="17">
        <f>B745/B744-1</f>
        <v>0</v>
      </c>
      <c r="E745" s="14">
        <v>17184426.67818554</v>
      </c>
      <c r="F745" s="17">
        <f>E745/E744-1</f>
        <v>0</v>
      </c>
      <c r="G745" s="14">
        <v>21711646.15925996</v>
      </c>
      <c r="H745" s="17">
        <f>G745/G744-1</f>
        <v>0</v>
      </c>
      <c r="I745" s="14">
        <f>MAX(I744,B745)</f>
        <v>0</v>
      </c>
      <c r="J745" s="17">
        <f>B745/I745-1</f>
        <v>0</v>
      </c>
    </row>
    <row r="746" spans="1:10">
      <c r="A746" s="6">
        <v>45289</v>
      </c>
      <c r="B746" s="14">
        <v>28624504.86929828</v>
      </c>
      <c r="D746" s="17">
        <f>B746/B745-1</f>
        <v>0</v>
      </c>
      <c r="E746" s="14">
        <v>17211731.63036882</v>
      </c>
      <c r="F746" s="17">
        <f>E746/E745-1</f>
        <v>0</v>
      </c>
      <c r="G746" s="14">
        <v>21847393.6647547</v>
      </c>
      <c r="H746" s="17">
        <f>G746/G745-1</f>
        <v>0</v>
      </c>
      <c r="I746" s="14">
        <f>MAX(I745,B746)</f>
        <v>0</v>
      </c>
      <c r="J746" s="17">
        <f>B746/I746-1</f>
        <v>0</v>
      </c>
    </row>
    <row r="747" spans="1:10">
      <c r="A747" s="6">
        <v>45292</v>
      </c>
      <c r="B747" s="14">
        <v>28553173.40200595</v>
      </c>
      <c r="D747" s="17">
        <f>B747/B746-1</f>
        <v>0</v>
      </c>
      <c r="E747" s="14">
        <v>17211731.63036882</v>
      </c>
      <c r="F747" s="17">
        <f>E747/E746-1</f>
        <v>0</v>
      </c>
      <c r="G747" s="14">
        <v>21948020.36749305</v>
      </c>
      <c r="H747" s="17">
        <f>G747/G746-1</f>
        <v>0</v>
      </c>
      <c r="I747" s="14">
        <f>MAX(I746,B747)</f>
        <v>0</v>
      </c>
      <c r="J747" s="17">
        <f>B747/I747-1</f>
        <v>0</v>
      </c>
    </row>
    <row r="748" spans="1:10">
      <c r="A748" s="6">
        <v>45293</v>
      </c>
      <c r="B748" s="14">
        <v>28411084.05194187</v>
      </c>
      <c r="D748" s="17">
        <f>B748/B747-1</f>
        <v>0</v>
      </c>
      <c r="E748" s="14">
        <v>17203028.11744199</v>
      </c>
      <c r="F748" s="17">
        <f>E748/E747-1</f>
        <v>0</v>
      </c>
      <c r="G748" s="14">
        <v>21929356.9067746</v>
      </c>
      <c r="H748" s="17">
        <f>G748/G747-1</f>
        <v>0</v>
      </c>
      <c r="I748" s="14">
        <f>MAX(I747,B748)</f>
        <v>0</v>
      </c>
      <c r="J748" s="17">
        <f>B748/I748-1</f>
        <v>0</v>
      </c>
    </row>
    <row r="749" spans="1:10">
      <c r="A749" s="6">
        <v>45294</v>
      </c>
      <c r="B749" s="14">
        <v>28590421.8533162</v>
      </c>
      <c r="D749" s="17">
        <f>B749/B748-1</f>
        <v>0</v>
      </c>
      <c r="E749" s="14">
        <v>17158444.22901963</v>
      </c>
      <c r="F749" s="17">
        <f>E749/E748-1</f>
        <v>0</v>
      </c>
      <c r="G749" s="14">
        <v>21953385.82605298</v>
      </c>
      <c r="H749" s="17">
        <f>G749/G748-1</f>
        <v>0</v>
      </c>
      <c r="I749" s="14">
        <f>MAX(I748,B749)</f>
        <v>0</v>
      </c>
      <c r="J749" s="17">
        <f>B749/I749-1</f>
        <v>0</v>
      </c>
    </row>
    <row r="750" spans="1:10">
      <c r="A750" s="6">
        <v>45295</v>
      </c>
      <c r="B750" s="14">
        <v>28756191.16656031</v>
      </c>
      <c r="D750" s="17">
        <f>B750/B749-1</f>
        <v>0</v>
      </c>
      <c r="E750" s="14">
        <v>17313505.90154174</v>
      </c>
      <c r="F750" s="17">
        <f>E750/E749-1</f>
        <v>0</v>
      </c>
      <c r="G750" s="14">
        <v>22176002.64286146</v>
      </c>
      <c r="H750" s="17">
        <f>G750/G749-1</f>
        <v>0</v>
      </c>
      <c r="I750" s="14">
        <f>MAX(I749,B750)</f>
        <v>0</v>
      </c>
      <c r="J750" s="17">
        <f>B750/I750-1</f>
        <v>0</v>
      </c>
    </row>
    <row r="751" spans="1:10">
      <c r="A751" s="6">
        <v>45296</v>
      </c>
      <c r="B751" s="14">
        <v>28866924.19069124</v>
      </c>
      <c r="D751" s="17">
        <f>B751/B750-1</f>
        <v>0</v>
      </c>
      <c r="E751" s="14">
        <v>17358054.00305693</v>
      </c>
      <c r="F751" s="17">
        <f>E751/E750-1</f>
        <v>0</v>
      </c>
      <c r="G751" s="14">
        <v>22231628.40209571</v>
      </c>
      <c r="H751" s="17">
        <f>G751/G750-1</f>
        <v>0</v>
      </c>
      <c r="I751" s="14">
        <f>MAX(I750,B751)</f>
        <v>0</v>
      </c>
      <c r="J751" s="17">
        <f>B751/I751-1</f>
        <v>0</v>
      </c>
    </row>
    <row r="752" spans="1:10">
      <c r="A752" s="6">
        <v>45299</v>
      </c>
      <c r="B752" s="14">
        <v>28922563.78895569</v>
      </c>
      <c r="D752" s="17">
        <f>B752/B751-1</f>
        <v>0</v>
      </c>
      <c r="E752" s="14">
        <v>17205683.92266871</v>
      </c>
      <c r="F752" s="17">
        <f>E752/E751-1</f>
        <v>0</v>
      </c>
      <c r="G752" s="14">
        <v>22065752.9932742</v>
      </c>
      <c r="H752" s="17">
        <f>G752/G751-1</f>
        <v>0</v>
      </c>
      <c r="I752" s="14">
        <f>MAX(I751,B752)</f>
        <v>0</v>
      </c>
      <c r="J752" s="17">
        <f>B752/I752-1</f>
        <v>0</v>
      </c>
    </row>
    <row r="753" spans="1:10">
      <c r="A753" s="6">
        <v>45300</v>
      </c>
      <c r="B753" s="14">
        <v>28785509.63585227</v>
      </c>
      <c r="D753" s="17">
        <f>B753/B752-1</f>
        <v>0</v>
      </c>
      <c r="E753" s="14">
        <v>17243587.17905961</v>
      </c>
      <c r="F753" s="17">
        <f>E753/E752-1</f>
        <v>0</v>
      </c>
      <c r="G753" s="14">
        <v>22129033.88674291</v>
      </c>
      <c r="H753" s="17">
        <f>G753/G752-1</f>
        <v>0</v>
      </c>
      <c r="I753" s="14">
        <f>MAX(I752,B753)</f>
        <v>0</v>
      </c>
      <c r="J753" s="17">
        <f>B753/I753-1</f>
        <v>0</v>
      </c>
    </row>
    <row r="754" spans="1:10">
      <c r="A754" s="6">
        <v>45301</v>
      </c>
      <c r="B754" s="14">
        <v>28584197.29276692</v>
      </c>
      <c r="D754" s="17">
        <f>B754/B753-1</f>
        <v>0</v>
      </c>
      <c r="E754" s="14">
        <v>17296068.32958972</v>
      </c>
      <c r="F754" s="17">
        <f>E754/E753-1</f>
        <v>0</v>
      </c>
      <c r="G754" s="14">
        <v>22132357.66971767</v>
      </c>
      <c r="H754" s="17">
        <f>G754/G753-1</f>
        <v>0</v>
      </c>
      <c r="I754" s="14">
        <f>MAX(I753,B754)</f>
        <v>0</v>
      </c>
      <c r="J754" s="17">
        <f>B754/I754-1</f>
        <v>0</v>
      </c>
    </row>
    <row r="755" spans="1:10">
      <c r="A755" s="6">
        <v>45302</v>
      </c>
      <c r="B755" s="14">
        <v>28521175.38463212</v>
      </c>
      <c r="D755" s="17">
        <f>B755/B754-1</f>
        <v>0</v>
      </c>
      <c r="E755" s="14">
        <v>17355822.0372713</v>
      </c>
      <c r="F755" s="17">
        <f>E755/E754-1</f>
        <v>0</v>
      </c>
      <c r="G755" s="14">
        <v>22268800.81240052</v>
      </c>
      <c r="H755" s="17">
        <f>G755/G754-1</f>
        <v>0</v>
      </c>
      <c r="I755" s="14">
        <f>MAX(I754,B755)</f>
        <v>0</v>
      </c>
      <c r="J755" s="17">
        <f>B755/I755-1</f>
        <v>0</v>
      </c>
    </row>
    <row r="756" spans="1:10">
      <c r="A756" s="6">
        <v>45303</v>
      </c>
      <c r="B756" s="14">
        <v>28604373.73014562</v>
      </c>
      <c r="D756" s="17">
        <f>B756/B755-1</f>
        <v>0</v>
      </c>
      <c r="E756" s="14">
        <v>17499549.6663397</v>
      </c>
      <c r="F756" s="17">
        <f>E756/E755-1</f>
        <v>0</v>
      </c>
      <c r="G756" s="14">
        <v>22369049.71136093</v>
      </c>
      <c r="H756" s="17">
        <f>G756/G755-1</f>
        <v>0</v>
      </c>
      <c r="I756" s="14">
        <f>MAX(I755,B756)</f>
        <v>0</v>
      </c>
      <c r="J756" s="17">
        <f>B756/I756-1</f>
        <v>0</v>
      </c>
    </row>
    <row r="757" spans="1:10">
      <c r="A757" s="6">
        <v>45306</v>
      </c>
      <c r="B757" s="14">
        <v>28693959.87369421</v>
      </c>
      <c r="D757" s="17">
        <f>B757/B756-1</f>
        <v>0</v>
      </c>
      <c r="E757" s="14">
        <v>17624414.78944419</v>
      </c>
      <c r="F757" s="17">
        <f>E757/E756-1</f>
        <v>0</v>
      </c>
      <c r="G757" s="14">
        <v>22475851.62617012</v>
      </c>
      <c r="H757" s="17">
        <f>G757/G756-1</f>
        <v>0</v>
      </c>
      <c r="I757" s="14">
        <f>MAX(I756,B757)</f>
        <v>0</v>
      </c>
      <c r="J757" s="17">
        <f>B757/I757-1</f>
        <v>0</v>
      </c>
    </row>
    <row r="758" spans="1:10">
      <c r="A758" s="6">
        <v>45307</v>
      </c>
      <c r="B758" s="14">
        <v>28654725.8060206</v>
      </c>
      <c r="D758" s="17">
        <f>B758/B757-1</f>
        <v>0</v>
      </c>
      <c r="E758" s="14">
        <v>17573849.08149314</v>
      </c>
      <c r="F758" s="17">
        <f>E758/E757-1</f>
        <v>0</v>
      </c>
      <c r="G758" s="14">
        <v>22431325.36736133</v>
      </c>
      <c r="H758" s="17">
        <f>G758/G757-1</f>
        <v>0</v>
      </c>
      <c r="I758" s="14">
        <f>MAX(I757,B758)</f>
        <v>0</v>
      </c>
      <c r="J758" s="17">
        <f>B758/I758-1</f>
        <v>0</v>
      </c>
    </row>
    <row r="759" spans="1:10">
      <c r="A759" s="6">
        <v>45308</v>
      </c>
      <c r="B759" s="14">
        <v>28526469.610648</v>
      </c>
      <c r="D759" s="17">
        <f>B759/B758-1</f>
        <v>0</v>
      </c>
      <c r="E759" s="14">
        <v>17273375.36336565</v>
      </c>
      <c r="F759" s="17">
        <f>E759/E758-1</f>
        <v>0</v>
      </c>
      <c r="G759" s="14">
        <v>22187082.16266859</v>
      </c>
      <c r="H759" s="17">
        <f>G759/G758-1</f>
        <v>0</v>
      </c>
      <c r="I759" s="14">
        <f>MAX(I758,B759)</f>
        <v>0</v>
      </c>
      <c r="J759" s="17">
        <f>B759/I759-1</f>
        <v>0</v>
      </c>
    </row>
    <row r="760" spans="1:10">
      <c r="A760" s="6">
        <v>45309</v>
      </c>
      <c r="B760" s="14">
        <v>28328464.24872286</v>
      </c>
      <c r="D760" s="17">
        <f>B760/B759-1</f>
        <v>0</v>
      </c>
      <c r="E760" s="14">
        <v>17209670.64107549</v>
      </c>
      <c r="F760" s="17">
        <f>E760/E759-1</f>
        <v>0</v>
      </c>
      <c r="G760" s="14">
        <v>22143207.87198721</v>
      </c>
      <c r="H760" s="17">
        <f>G760/G759-1</f>
        <v>0</v>
      </c>
      <c r="I760" s="14">
        <f>MAX(I759,B760)</f>
        <v>0</v>
      </c>
      <c r="J760" s="17">
        <f>B760/I760-1</f>
        <v>0</v>
      </c>
    </row>
    <row r="761" spans="1:10">
      <c r="A761" s="6">
        <v>45310</v>
      </c>
      <c r="B761" s="14">
        <v>28598895.75907829</v>
      </c>
      <c r="D761" s="17">
        <f>B761/B760-1</f>
        <v>0</v>
      </c>
      <c r="E761" s="14">
        <v>17380327.90388411</v>
      </c>
      <c r="F761" s="17">
        <f>E761/E760-1</f>
        <v>0</v>
      </c>
      <c r="G761" s="14">
        <v>22420789.68146463</v>
      </c>
      <c r="H761" s="17">
        <f>G761/G760-1</f>
        <v>0</v>
      </c>
      <c r="I761" s="14">
        <f>MAX(I760,B761)</f>
        <v>0</v>
      </c>
      <c r="J761" s="17">
        <f>B761/I761-1</f>
        <v>0</v>
      </c>
    </row>
    <row r="762" spans="1:10">
      <c r="A762" s="6">
        <v>45314</v>
      </c>
      <c r="B762" s="14">
        <v>28127869.01309663</v>
      </c>
      <c r="D762" s="17">
        <f>B762/B761-1</f>
        <v>0</v>
      </c>
      <c r="E762" s="14">
        <v>17026614.04320604</v>
      </c>
      <c r="F762" s="17">
        <f>E762/E761-1</f>
        <v>0</v>
      </c>
      <c r="G762" s="14">
        <v>21918427.0054357</v>
      </c>
      <c r="H762" s="17">
        <f>G762/G761-1</f>
        <v>0</v>
      </c>
      <c r="I762" s="14">
        <f>MAX(I761,B762)</f>
        <v>0</v>
      </c>
      <c r="J762" s="17">
        <f>B762/I762-1</f>
        <v>0</v>
      </c>
    </row>
    <row r="763" spans="1:10">
      <c r="A763" s="6">
        <v>45315</v>
      </c>
      <c r="B763" s="14">
        <v>28566559.94384149</v>
      </c>
      <c r="D763" s="17">
        <f>B763/B762-1</f>
        <v>0</v>
      </c>
      <c r="E763" s="14">
        <v>17244220.33459591</v>
      </c>
      <c r="F763" s="17">
        <f>E763/E762-1</f>
        <v>0</v>
      </c>
      <c r="G763" s="14">
        <v>22279999.05691553</v>
      </c>
      <c r="H763" s="17">
        <f>G763/G762-1</f>
        <v>0</v>
      </c>
      <c r="I763" s="14">
        <f>MAX(I762,B763)</f>
        <v>0</v>
      </c>
      <c r="J763" s="17">
        <f>B763/I763-1</f>
        <v>0</v>
      </c>
    </row>
    <row r="764" spans="1:10">
      <c r="A764" s="6">
        <v>45316</v>
      </c>
      <c r="B764" s="14">
        <v>28719900.69233735</v>
      </c>
      <c r="D764" s="17">
        <f>B764/B763-1</f>
        <v>0</v>
      </c>
      <c r="E764" s="14">
        <v>17193621.77793507</v>
      </c>
      <c r="F764" s="17">
        <f>E764/E763-1</f>
        <v>0</v>
      </c>
      <c r="G764" s="14">
        <v>22264593.61688438</v>
      </c>
      <c r="H764" s="17">
        <f>G764/G763-1</f>
        <v>0</v>
      </c>
      <c r="I764" s="14">
        <f>MAX(I763,B764)</f>
        <v>0</v>
      </c>
      <c r="J764" s="17">
        <f>B764/I764-1</f>
        <v>0</v>
      </c>
    </row>
    <row r="765" spans="1:10">
      <c r="A765" s="6">
        <v>45320</v>
      </c>
      <c r="B765" s="14">
        <v>29293890.54508292</v>
      </c>
      <c r="D765" s="17">
        <f>B765/B764-1</f>
        <v>0</v>
      </c>
      <c r="E765" s="14">
        <v>17476952.47437901</v>
      </c>
      <c r="F765" s="17">
        <f>E765/E764-1</f>
        <v>0</v>
      </c>
      <c r="G765" s="14">
        <v>22551889.43098029</v>
      </c>
      <c r="H765" s="17">
        <f>G765/G764-1</f>
        <v>0</v>
      </c>
      <c r="I765" s="14">
        <f>MAX(I764,B765)</f>
        <v>0</v>
      </c>
      <c r="J765" s="17">
        <f>B765/I765-1</f>
        <v>0</v>
      </c>
    </row>
    <row r="766" spans="1:10">
      <c r="A766" s="6">
        <v>45321</v>
      </c>
      <c r="B766" s="14">
        <v>29106190.07505324</v>
      </c>
      <c r="D766" s="17">
        <f>B766/B765-1</f>
        <v>0</v>
      </c>
      <c r="E766" s="14">
        <v>17355916.29479171</v>
      </c>
      <c r="F766" s="17">
        <f>E766/E765-1</f>
        <v>0</v>
      </c>
      <c r="G766" s="14">
        <v>22516255.14898149</v>
      </c>
      <c r="H766" s="17">
        <f>G766/G765-1</f>
        <v>0</v>
      </c>
      <c r="I766" s="14">
        <f>MAX(I765,B766)</f>
        <v>0</v>
      </c>
      <c r="J766" s="17">
        <f>B766/I766-1</f>
        <v>0</v>
      </c>
    </row>
    <row r="767" spans="1:10">
      <c r="A767" s="6">
        <v>45322</v>
      </c>
      <c r="B767" s="14">
        <v>29265460.00888575</v>
      </c>
      <c r="D767" s="17">
        <f>B767/B766-1</f>
        <v>0</v>
      </c>
      <c r="E767" s="14">
        <v>17558815.91742421</v>
      </c>
      <c r="F767" s="17">
        <f>E767/E766-1</f>
        <v>0</v>
      </c>
      <c r="G767" s="14">
        <v>22862917.20594428</v>
      </c>
      <c r="H767" s="17">
        <f>G767/G766-1</f>
        <v>0</v>
      </c>
      <c r="I767" s="14">
        <f>MAX(I766,B767)</f>
        <v>0</v>
      </c>
      <c r="J767" s="17">
        <f>B767/I767-1</f>
        <v>0</v>
      </c>
    </row>
    <row r="768" spans="1:10">
      <c r="A768" s="6">
        <v>45323</v>
      </c>
      <c r="B768" s="14">
        <v>29166803.20054298</v>
      </c>
      <c r="D768" s="17">
        <f>B768/B767-1</f>
        <v>0</v>
      </c>
      <c r="E768" s="14">
        <v>17537705.85881227</v>
      </c>
      <c r="F768" s="17">
        <f>E768/E767-1</f>
        <v>0</v>
      </c>
      <c r="G768" s="14">
        <v>22828385.7081874</v>
      </c>
      <c r="H768" s="17">
        <f>G768/G767-1</f>
        <v>0</v>
      </c>
      <c r="I768" s="14">
        <f>MAX(I767,B768)</f>
        <v>0</v>
      </c>
      <c r="J768" s="17">
        <f>B768/I768-1</f>
        <v>0</v>
      </c>
    </row>
    <row r="769" spans="1:10">
      <c r="A769" s="6">
        <v>45324</v>
      </c>
      <c r="B769" s="14">
        <v>29775159.63536034</v>
      </c>
      <c r="D769" s="17">
        <f>B769/B768-1</f>
        <v>0</v>
      </c>
      <c r="E769" s="14">
        <v>17656879.76637084</v>
      </c>
      <c r="F769" s="17">
        <f>E769/E768-1</f>
        <v>0</v>
      </c>
      <c r="G769" s="14">
        <v>22987241.11675619</v>
      </c>
      <c r="H769" s="17">
        <f>G769/G768-1</f>
        <v>0</v>
      </c>
      <c r="I769" s="14">
        <f>MAX(I768,B769)</f>
        <v>0</v>
      </c>
      <c r="J769" s="17">
        <f>B769/I769-1</f>
        <v>0</v>
      </c>
    </row>
    <row r="770" spans="1:10">
      <c r="A770" s="6">
        <v>45327</v>
      </c>
      <c r="B770" s="14">
        <v>30006786.24759851</v>
      </c>
      <c r="D770" s="17">
        <f>B770/B769-1</f>
        <v>0</v>
      </c>
      <c r="E770" s="14">
        <v>17606906.29021305</v>
      </c>
      <c r="F770" s="17">
        <f>E770/E769-1</f>
        <v>0</v>
      </c>
      <c r="G770" s="14">
        <v>22974592.02724703</v>
      </c>
      <c r="H770" s="17">
        <f>G770/G769-1</f>
        <v>0</v>
      </c>
      <c r="I770" s="14">
        <f>MAX(I769,B770)</f>
        <v>0</v>
      </c>
      <c r="J770" s="17">
        <f>B770/I770-1</f>
        <v>0</v>
      </c>
    </row>
    <row r="771" spans="1:10">
      <c r="A771" s="6">
        <v>45328</v>
      </c>
      <c r="B771" s="14">
        <v>30300000.82951241</v>
      </c>
      <c r="D771" s="17">
        <f>B771/B770-1</f>
        <v>0</v>
      </c>
      <c r="E771" s="14">
        <v>17767597.8817138</v>
      </c>
      <c r="F771" s="17">
        <f>E771/E770-1</f>
        <v>0</v>
      </c>
      <c r="G771" s="14">
        <v>23233812.60226885</v>
      </c>
      <c r="H771" s="17">
        <f>G771/G770-1</f>
        <v>0</v>
      </c>
      <c r="I771" s="14">
        <f>MAX(I770,B771)</f>
        <v>0</v>
      </c>
      <c r="J771" s="17">
        <f>B771/I771-1</f>
        <v>0</v>
      </c>
    </row>
    <row r="772" spans="1:10">
      <c r="A772" s="6">
        <v>45329</v>
      </c>
      <c r="B772" s="14">
        <v>30282957.70325513</v>
      </c>
      <c r="D772" s="17">
        <f>B772/B771-1</f>
        <v>0</v>
      </c>
      <c r="E772" s="14">
        <v>17835670.4031953</v>
      </c>
      <c r="F772" s="17">
        <f>E772/E771-1</f>
        <v>0</v>
      </c>
      <c r="G772" s="14">
        <v>23384531.49541992</v>
      </c>
      <c r="H772" s="17">
        <f>G772/G771-1</f>
        <v>0</v>
      </c>
      <c r="I772" s="14">
        <f>MAX(I771,B772)</f>
        <v>0</v>
      </c>
      <c r="J772" s="17">
        <f>B772/I772-1</f>
        <v>0</v>
      </c>
    </row>
    <row r="773" spans="1:10">
      <c r="A773" s="6">
        <v>45330</v>
      </c>
      <c r="B773" s="14">
        <v>30227369.95332363</v>
      </c>
      <c r="D773" s="17">
        <f>B773/B772-1</f>
        <v>0</v>
      </c>
      <c r="E773" s="14">
        <v>17728314.82790184</v>
      </c>
      <c r="F773" s="17">
        <f>E773/E772-1</f>
        <v>0</v>
      </c>
      <c r="G773" s="14">
        <v>23279399.2508446</v>
      </c>
      <c r="H773" s="17">
        <f>G773/G772-1</f>
        <v>0</v>
      </c>
      <c r="I773" s="14">
        <f>MAX(I772,B773)</f>
        <v>0</v>
      </c>
      <c r="J773" s="17">
        <f>B773/I773-1</f>
        <v>0</v>
      </c>
    </row>
    <row r="774" spans="1:10">
      <c r="A774" s="6">
        <v>45331</v>
      </c>
      <c r="B774" s="14">
        <v>30160560.13331432</v>
      </c>
      <c r="D774" s="17">
        <f>B774/B773-1</f>
        <v>0</v>
      </c>
      <c r="E774" s="14">
        <v>17706052.82808399</v>
      </c>
      <c r="F774" s="17">
        <f>E774/E773-1</f>
        <v>0</v>
      </c>
      <c r="G774" s="14">
        <v>23120950.88851324</v>
      </c>
      <c r="H774" s="17">
        <f>G774/G773-1</f>
        <v>0</v>
      </c>
      <c r="I774" s="14">
        <f>MAX(I773,B774)</f>
        <v>0</v>
      </c>
      <c r="J774" s="17">
        <f>B774/I774-1</f>
        <v>0</v>
      </c>
    </row>
    <row r="775" spans="1:10">
      <c r="A775" s="6">
        <v>45334</v>
      </c>
      <c r="B775" s="14">
        <v>29822789.54869255</v>
      </c>
      <c r="D775" s="17">
        <f>B775/B774-1</f>
        <v>0</v>
      </c>
      <c r="E775" s="14">
        <v>17452944.27856738</v>
      </c>
      <c r="F775" s="17">
        <f>E775/E774-1</f>
        <v>0</v>
      </c>
      <c r="G775" s="14">
        <v>22604885.1291968</v>
      </c>
      <c r="H775" s="17">
        <f>G775/G774-1</f>
        <v>0</v>
      </c>
      <c r="I775" s="14">
        <f>MAX(I774,B775)</f>
        <v>0</v>
      </c>
      <c r="J775" s="17">
        <f>B775/I775-1</f>
        <v>0</v>
      </c>
    </row>
    <row r="776" spans="1:10">
      <c r="A776" s="6">
        <v>45335</v>
      </c>
      <c r="B776" s="14">
        <v>30300455.74704659</v>
      </c>
      <c r="D776" s="17">
        <f>B776/B775-1</f>
        <v>0</v>
      </c>
      <c r="E776" s="14">
        <v>17549312.01759576</v>
      </c>
      <c r="F776" s="17">
        <f>E776/E775-1</f>
        <v>0</v>
      </c>
      <c r="G776" s="14">
        <v>22742882.29462013</v>
      </c>
      <c r="H776" s="17">
        <f>G776/G775-1</f>
        <v>0</v>
      </c>
      <c r="I776" s="14">
        <f>MAX(I775,B776)</f>
        <v>0</v>
      </c>
      <c r="J776" s="17">
        <f>B776/I776-1</f>
        <v>0</v>
      </c>
    </row>
    <row r="777" spans="1:10">
      <c r="A777" s="6">
        <v>45336</v>
      </c>
      <c r="B777" s="14">
        <v>30829153.67973484</v>
      </c>
      <c r="D777" s="17">
        <f>B777/B776-1</f>
        <v>0</v>
      </c>
      <c r="E777" s="14">
        <v>17673809.08861071</v>
      </c>
      <c r="F777" s="17">
        <f>E777/E776-1</f>
        <v>0</v>
      </c>
      <c r="G777" s="14">
        <v>22972101.03122593</v>
      </c>
      <c r="H777" s="17">
        <f>G777/G776-1</f>
        <v>0</v>
      </c>
      <c r="I777" s="14">
        <f>MAX(I776,B777)</f>
        <v>0</v>
      </c>
      <c r="J777" s="17">
        <f>B777/I777-1</f>
        <v>0</v>
      </c>
    </row>
    <row r="778" spans="1:10">
      <c r="A778" s="6">
        <v>45337</v>
      </c>
      <c r="B778" s="14">
        <v>31379586.98083945</v>
      </c>
      <c r="D778" s="17">
        <f>B778/B777-1</f>
        <v>0</v>
      </c>
      <c r="E778" s="14">
        <v>17776404.61329126</v>
      </c>
      <c r="F778" s="17">
        <f>E778/E777-1</f>
        <v>0</v>
      </c>
      <c r="G778" s="14">
        <v>23220427.60950526</v>
      </c>
      <c r="H778" s="17">
        <f>G778/G777-1</f>
        <v>0</v>
      </c>
      <c r="I778" s="14">
        <f>MAX(I777,B778)</f>
        <v>0</v>
      </c>
      <c r="J778" s="17">
        <f>B778/I778-1</f>
        <v>0</v>
      </c>
    </row>
    <row r="779" spans="1:10">
      <c r="A779" s="6">
        <v>45338</v>
      </c>
      <c r="B779" s="14">
        <v>31708977.61611796</v>
      </c>
      <c r="D779" s="17">
        <f>B779/B778-1</f>
        <v>0</v>
      </c>
      <c r="E779" s="14">
        <v>17890721.64295815</v>
      </c>
      <c r="F779" s="17">
        <f>E779/E778-1</f>
        <v>0</v>
      </c>
      <c r="G779" s="14">
        <v>23398264.06529615</v>
      </c>
      <c r="H779" s="17">
        <f>G779/G778-1</f>
        <v>0</v>
      </c>
      <c r="I779" s="14">
        <f>MAX(I778,B779)</f>
        <v>0</v>
      </c>
      <c r="J779" s="17">
        <f>B779/I779-1</f>
        <v>0</v>
      </c>
    </row>
    <row r="780" spans="1:10">
      <c r="A780" s="6">
        <v>45341</v>
      </c>
      <c r="B780" s="14">
        <v>31905756.00364297</v>
      </c>
      <c r="D780" s="17">
        <f>B780/B779-1</f>
        <v>0</v>
      </c>
      <c r="E780" s="14">
        <v>17890721.64295815</v>
      </c>
      <c r="F780" s="17">
        <f>E780/E779-1</f>
        <v>0</v>
      </c>
      <c r="G780" s="14">
        <v>23541120.62336111</v>
      </c>
      <c r="H780" s="17">
        <f>G780/G779-1</f>
        <v>0</v>
      </c>
      <c r="I780" s="14">
        <f>MAX(I779,B780)</f>
        <v>0</v>
      </c>
      <c r="J780" s="17">
        <f>B780/I780-1</f>
        <v>0</v>
      </c>
    </row>
    <row r="781" spans="1:10">
      <c r="A781" s="6">
        <v>45342</v>
      </c>
      <c r="B781" s="14">
        <v>31977710.16482549</v>
      </c>
      <c r="D781" s="17">
        <f>B781/B780-1</f>
        <v>0</v>
      </c>
      <c r="E781" s="14">
        <v>17986506.22140845</v>
      </c>
      <c r="F781" s="17">
        <f>E781/E780-1</f>
        <v>0</v>
      </c>
      <c r="G781" s="14">
        <v>23502907.54412963</v>
      </c>
      <c r="H781" s="17">
        <f>G781/G780-1</f>
        <v>0</v>
      </c>
      <c r="I781" s="14">
        <f>MAX(I780,B781)</f>
        <v>0</v>
      </c>
      <c r="J781" s="17">
        <f>B781/I781-1</f>
        <v>0</v>
      </c>
    </row>
    <row r="782" spans="1:10">
      <c r="A782" s="6">
        <v>45343</v>
      </c>
      <c r="B782" s="14">
        <v>31442688.9724024</v>
      </c>
      <c r="D782" s="17">
        <f>B782/B781-1</f>
        <v>0</v>
      </c>
      <c r="E782" s="14">
        <v>17859952.10811419</v>
      </c>
      <c r="F782" s="17">
        <f>E782/E781-1</f>
        <v>0</v>
      </c>
      <c r="G782" s="14">
        <v>23362537.16562526</v>
      </c>
      <c r="H782" s="17">
        <f>G782/G781-1</f>
        <v>0</v>
      </c>
      <c r="I782" s="14">
        <f>MAX(I781,B782)</f>
        <v>0</v>
      </c>
      <c r="J782" s="17">
        <f>B782/I782-1</f>
        <v>0</v>
      </c>
    </row>
    <row r="783" spans="1:10">
      <c r="A783" s="6">
        <v>45344</v>
      </c>
      <c r="B783" s="14">
        <v>31878568.23625286</v>
      </c>
      <c r="D783" s="17">
        <f>B783/B782-1</f>
        <v>0</v>
      </c>
      <c r="E783" s="14">
        <v>17998910.29760645</v>
      </c>
      <c r="F783" s="17">
        <f>E783/E782-1</f>
        <v>0</v>
      </c>
      <c r="G783" s="14">
        <v>23525699.89237928</v>
      </c>
      <c r="H783" s="17">
        <f>G783/G782-1</f>
        <v>0</v>
      </c>
      <c r="I783" s="14">
        <f>MAX(I782,B783)</f>
        <v>0</v>
      </c>
      <c r="J783" s="17">
        <f>B783/I783-1</f>
        <v>0</v>
      </c>
    </row>
    <row r="784" spans="1:10">
      <c r="A784" s="6">
        <v>45345</v>
      </c>
      <c r="B784" s="14">
        <v>31888060.71198612</v>
      </c>
      <c r="D784" s="17">
        <f>B784/B783-1</f>
        <v>0</v>
      </c>
      <c r="E784" s="14">
        <v>18025989.19849803</v>
      </c>
      <c r="F784" s="17">
        <f>E784/E783-1</f>
        <v>0</v>
      </c>
      <c r="G784" s="14">
        <v>23584820.96241966</v>
      </c>
      <c r="H784" s="17">
        <f>G784/G783-1</f>
        <v>0</v>
      </c>
      <c r="I784" s="14">
        <f>MAX(I783,B784)</f>
        <v>0</v>
      </c>
      <c r="J784" s="17">
        <f>B784/I784-1</f>
        <v>0</v>
      </c>
    </row>
    <row r="785" spans="1:10">
      <c r="A785" s="6">
        <v>45348</v>
      </c>
      <c r="B785" s="14">
        <v>32132876.75106948</v>
      </c>
      <c r="D785" s="17">
        <f>B785/B784-1</f>
        <v>0</v>
      </c>
      <c r="E785" s="14">
        <v>17975645.89070166</v>
      </c>
      <c r="F785" s="17">
        <f>E785/E784-1</f>
        <v>0</v>
      </c>
      <c r="G785" s="14">
        <v>23561694.41222558</v>
      </c>
      <c r="H785" s="17">
        <f>G785/G784-1</f>
        <v>0</v>
      </c>
      <c r="I785" s="14">
        <f>MAX(I784,B785)</f>
        <v>0</v>
      </c>
      <c r="J785" s="17">
        <f>B785/I785-1</f>
        <v>0</v>
      </c>
    </row>
    <row r="786" spans="1:10">
      <c r="A786" s="6">
        <v>45349</v>
      </c>
      <c r="B786" s="14">
        <v>32191926.87630779</v>
      </c>
      <c r="D786" s="17">
        <f>B786/B785-1</f>
        <v>0</v>
      </c>
      <c r="E786" s="14">
        <v>18009380.18964784</v>
      </c>
      <c r="F786" s="17">
        <f>E786/E785-1</f>
        <v>0</v>
      </c>
      <c r="G786" s="14">
        <v>23568202.56582856</v>
      </c>
      <c r="H786" s="17">
        <f>G786/G785-1</f>
        <v>0</v>
      </c>
      <c r="I786" s="14">
        <f>MAX(I785,B786)</f>
        <v>0</v>
      </c>
      <c r="J786" s="17">
        <f>B786/I786-1</f>
        <v>0</v>
      </c>
    </row>
    <row r="787" spans="1:10">
      <c r="A787" s="6">
        <v>45350</v>
      </c>
      <c r="B787" s="14">
        <v>31589136.76004354</v>
      </c>
      <c r="D787" s="17">
        <f>B787/B786-1</f>
        <v>0</v>
      </c>
      <c r="E787" s="14">
        <v>17768446.13053147</v>
      </c>
      <c r="F787" s="17">
        <f>E787/E786-1</f>
        <v>0</v>
      </c>
      <c r="G787" s="14">
        <v>23217128.43258413</v>
      </c>
      <c r="H787" s="17">
        <f>G787/G786-1</f>
        <v>0</v>
      </c>
      <c r="I787" s="14">
        <f>MAX(I786,B787)</f>
        <v>0</v>
      </c>
      <c r="J787" s="17">
        <f>B787/I787-1</f>
        <v>0</v>
      </c>
    </row>
    <row r="788" spans="1:10">
      <c r="A788" s="6">
        <v>45351</v>
      </c>
      <c r="B788" s="14">
        <v>31707334.80603976</v>
      </c>
      <c r="D788" s="17">
        <f>B788/B787-1</f>
        <v>0</v>
      </c>
      <c r="E788" s="14">
        <v>17831108.15427067</v>
      </c>
      <c r="F788" s="17">
        <f>E788/E787-1</f>
        <v>0</v>
      </c>
      <c r="G788" s="14">
        <v>23348941.68903143</v>
      </c>
      <c r="H788" s="17">
        <f>G788/G787-1</f>
        <v>0</v>
      </c>
      <c r="I788" s="14">
        <f>MAX(I787,B788)</f>
        <v>0</v>
      </c>
      <c r="J788" s="17">
        <f>B788/I788-1</f>
        <v>0</v>
      </c>
    </row>
    <row r="789" spans="1:10">
      <c r="A789" s="6">
        <v>45352</v>
      </c>
      <c r="B789" s="14">
        <v>32330026.17170162</v>
      </c>
      <c r="D789" s="17">
        <f>B789/B788-1</f>
        <v>0</v>
      </c>
      <c r="E789" s="14">
        <v>18062500.74076078</v>
      </c>
      <c r="F789" s="17">
        <f>E789/E788-1</f>
        <v>0</v>
      </c>
      <c r="G789" s="14">
        <v>23544198.07247827</v>
      </c>
      <c r="H789" s="17">
        <f>G789/G788-1</f>
        <v>0</v>
      </c>
      <c r="I789" s="14">
        <f>MAX(I788,B789)</f>
        <v>0</v>
      </c>
      <c r="J789" s="17">
        <f>B789/I789-1</f>
        <v>0</v>
      </c>
    </row>
    <row r="790" spans="1:10">
      <c r="A790" s="6">
        <v>45355</v>
      </c>
      <c r="B790" s="14">
        <v>32754941.93914293</v>
      </c>
      <c r="D790" s="17">
        <f>B790/B789-1</f>
        <v>0</v>
      </c>
      <c r="E790" s="14">
        <v>18136366.03084743</v>
      </c>
      <c r="F790" s="17">
        <f>E790/E789-1</f>
        <v>0</v>
      </c>
      <c r="G790" s="14">
        <v>23658562.30352429</v>
      </c>
      <c r="H790" s="17">
        <f>G790/G789-1</f>
        <v>0</v>
      </c>
      <c r="I790" s="14">
        <f>MAX(I789,B790)</f>
        <v>0</v>
      </c>
      <c r="J790" s="17">
        <f>B790/I790-1</f>
        <v>0</v>
      </c>
    </row>
    <row r="791" spans="1:10">
      <c r="A791" s="6">
        <v>45356</v>
      </c>
      <c r="B791" s="14">
        <v>33056392.54887947</v>
      </c>
      <c r="D791" s="17">
        <f>B791/B790-1</f>
        <v>0</v>
      </c>
      <c r="E791" s="14">
        <v>18092802.44371458</v>
      </c>
      <c r="F791" s="17">
        <f>E791/E790-1</f>
        <v>0</v>
      </c>
      <c r="G791" s="14">
        <v>23625123.72882323</v>
      </c>
      <c r="H791" s="17">
        <f>G791/G790-1</f>
        <v>0</v>
      </c>
      <c r="I791" s="14">
        <f>MAX(I790,B791)</f>
        <v>0</v>
      </c>
      <c r="J791" s="17">
        <f>B791/I791-1</f>
        <v>0</v>
      </c>
    </row>
    <row r="792" spans="1:10">
      <c r="A792" s="6">
        <v>45357</v>
      </c>
      <c r="B792" s="14">
        <v>33135953.94046323</v>
      </c>
      <c r="D792" s="17">
        <f>B792/B791-1</f>
        <v>0</v>
      </c>
      <c r="E792" s="14">
        <v>18091489.87017565</v>
      </c>
      <c r="F792" s="17">
        <f>E792/E791-1</f>
        <v>0</v>
      </c>
      <c r="G792" s="14">
        <v>23445050.96819727</v>
      </c>
      <c r="H792" s="17">
        <f>G792/G791-1</f>
        <v>0</v>
      </c>
      <c r="I792" s="14">
        <f>MAX(I791,B792)</f>
        <v>0</v>
      </c>
      <c r="J792" s="17">
        <f>B792/I792-1</f>
        <v>0</v>
      </c>
    </row>
    <row r="793" spans="1:10">
      <c r="A793" s="6">
        <v>45358</v>
      </c>
      <c r="B793" s="14">
        <v>33130143.71649468</v>
      </c>
      <c r="D793" s="17">
        <f>B793/B792-1</f>
        <v>0</v>
      </c>
      <c r="E793" s="14">
        <v>18141398.32004347</v>
      </c>
      <c r="F793" s="17">
        <f>E793/E792-1</f>
        <v>0</v>
      </c>
      <c r="G793" s="14">
        <v>23559305.48317017</v>
      </c>
      <c r="H793" s="17">
        <f>G793/G792-1</f>
        <v>0</v>
      </c>
      <c r="I793" s="14">
        <f>MAX(I792,B793)</f>
        <v>0</v>
      </c>
      <c r="J793" s="17">
        <f>B793/I793-1</f>
        <v>0</v>
      </c>
    </row>
    <row r="794" spans="1:10">
      <c r="A794" s="6">
        <v>45362</v>
      </c>
      <c r="B794" s="14">
        <v>32768861.60432848</v>
      </c>
      <c r="D794" s="17">
        <f>B794/B793-1</f>
        <v>0</v>
      </c>
      <c r="E794" s="14">
        <v>18012602.72817221</v>
      </c>
      <c r="F794" s="17">
        <f>E794/E793-1</f>
        <v>0</v>
      </c>
      <c r="G794" s="14">
        <v>23367158.4880152</v>
      </c>
      <c r="H794" s="17">
        <f>G794/G793-1</f>
        <v>0</v>
      </c>
      <c r="I794" s="14">
        <f>MAX(I793,B794)</f>
        <v>0</v>
      </c>
      <c r="J794" s="17">
        <f>B794/I794-1</f>
        <v>0</v>
      </c>
    </row>
    <row r="795" spans="1:10">
      <c r="A795" s="6">
        <v>45363</v>
      </c>
      <c r="B795" s="14">
        <v>32596428.66520597</v>
      </c>
      <c r="D795" s="17">
        <f>B795/B794-1</f>
        <v>0</v>
      </c>
      <c r="E795" s="14">
        <v>17909276.03919682</v>
      </c>
      <c r="F795" s="17">
        <f>E795/E794-1</f>
        <v>0</v>
      </c>
      <c r="G795" s="14">
        <v>23046714.73605517</v>
      </c>
      <c r="H795" s="17">
        <f>G795/G794-1</f>
        <v>0</v>
      </c>
      <c r="I795" s="14">
        <f>MAX(I794,B795)</f>
        <v>0</v>
      </c>
      <c r="J795" s="17">
        <f>B795/I795-1</f>
        <v>0</v>
      </c>
    </row>
    <row r="796" spans="1:10">
      <c r="A796" s="6">
        <v>45364</v>
      </c>
      <c r="B796" s="14">
        <v>31311458.82437801</v>
      </c>
      <c r="D796" s="17">
        <f>B796/B795-1</f>
        <v>0</v>
      </c>
      <c r="E796" s="14">
        <v>17443916.61728851</v>
      </c>
      <c r="F796" s="17">
        <f>E796/E795-1</f>
        <v>0</v>
      </c>
      <c r="G796" s="14">
        <v>22128771.35275471</v>
      </c>
      <c r="H796" s="17">
        <f>G796/G795-1</f>
        <v>0</v>
      </c>
      <c r="I796" s="14">
        <f>MAX(I795,B796)</f>
        <v>0</v>
      </c>
      <c r="J796" s="17">
        <f>B796/I796-1</f>
        <v>0</v>
      </c>
    </row>
    <row r="797" spans="1:10">
      <c r="A797" s="6">
        <v>45365</v>
      </c>
      <c r="B797" s="14">
        <v>31875310.38889898</v>
      </c>
      <c r="D797" s="17">
        <f>B797/B796-1</f>
        <v>0</v>
      </c>
      <c r="E797" s="14">
        <v>17684523.16924027</v>
      </c>
      <c r="F797" s="17">
        <f>E797/E796-1</f>
        <v>0</v>
      </c>
      <c r="G797" s="14">
        <v>22671584.68886424</v>
      </c>
      <c r="H797" s="17">
        <f>G797/G796-1</f>
        <v>0</v>
      </c>
      <c r="I797" s="14">
        <f>MAX(I796,B797)</f>
        <v>0</v>
      </c>
      <c r="J797" s="17">
        <f>B797/I797-1</f>
        <v>0</v>
      </c>
    </row>
    <row r="798" spans="1:10">
      <c r="A798" s="6">
        <v>45366</v>
      </c>
      <c r="B798" s="14">
        <v>31516506.22313191</v>
      </c>
      <c r="D798" s="17">
        <f>B798/B797-1</f>
        <v>0</v>
      </c>
      <c r="E798" s="14">
        <v>17604429.21292593</v>
      </c>
      <c r="F798" s="17">
        <f>E798/E797-1</f>
        <v>0</v>
      </c>
      <c r="G798" s="14">
        <v>22615530.02932091</v>
      </c>
      <c r="H798" s="17">
        <f>G798/G797-1</f>
        <v>0</v>
      </c>
      <c r="I798" s="14">
        <f>MAX(I797,B798)</f>
        <v>0</v>
      </c>
      <c r="J798" s="17">
        <f>B798/I798-1</f>
        <v>0</v>
      </c>
    </row>
    <row r="799" spans="1:10">
      <c r="A799" s="6">
        <v>45369</v>
      </c>
      <c r="B799" s="14">
        <v>31650267.3803538</v>
      </c>
      <c r="D799" s="17">
        <f>B799/B798-1</f>
        <v>0</v>
      </c>
      <c r="E799" s="14">
        <v>17621162.7520178</v>
      </c>
      <c r="F799" s="17">
        <f>E799/E798-1</f>
        <v>0</v>
      </c>
      <c r="G799" s="14">
        <v>22639376.24188412</v>
      </c>
      <c r="H799" s="17">
        <f>G799/G798-1</f>
        <v>0</v>
      </c>
      <c r="I799" s="14">
        <f>MAX(I798,B799)</f>
        <v>0</v>
      </c>
      <c r="J799" s="17">
        <f>B799/I799-1</f>
        <v>0</v>
      </c>
    </row>
    <row r="800" spans="1:10">
      <c r="A800" s="6">
        <v>45370</v>
      </c>
      <c r="B800" s="14">
        <v>31352833.2584447</v>
      </c>
      <c r="D800" s="17">
        <f>B800/B799-1</f>
        <v>0</v>
      </c>
      <c r="E800" s="14">
        <v>17415492.74963187</v>
      </c>
      <c r="F800" s="17">
        <f>E800/E799-1</f>
        <v>0</v>
      </c>
      <c r="G800" s="14">
        <v>22378571.00040529</v>
      </c>
      <c r="H800" s="17">
        <f>G800/G799-1</f>
        <v>0</v>
      </c>
      <c r="I800" s="14">
        <f>MAX(I799,B800)</f>
        <v>0</v>
      </c>
      <c r="J800" s="17">
        <f>B800/I800-1</f>
        <v>0</v>
      </c>
    </row>
    <row r="801" spans="1:10">
      <c r="A801" s="6">
        <v>45371</v>
      </c>
      <c r="B801" s="14">
        <v>31605694.08865814</v>
      </c>
      <c r="D801" s="17">
        <f>B801/B800-1</f>
        <v>0</v>
      </c>
      <c r="E801" s="14">
        <v>17435415.5099987</v>
      </c>
      <c r="F801" s="17">
        <f>E801/E800-1</f>
        <v>0</v>
      </c>
      <c r="G801" s="14">
        <v>22376223.65517404</v>
      </c>
      <c r="H801" s="17">
        <f>G801/G800-1</f>
        <v>0</v>
      </c>
      <c r="I801" s="14">
        <f>MAX(I800,B801)</f>
        <v>0</v>
      </c>
      <c r="J801" s="17">
        <f>B801/I801-1</f>
        <v>0</v>
      </c>
    </row>
    <row r="802" spans="1:10">
      <c r="A802" s="6">
        <v>45372</v>
      </c>
      <c r="B802" s="14">
        <v>32216710.88417411</v>
      </c>
      <c r="D802" s="17">
        <f>B802/B801-1</f>
        <v>0</v>
      </c>
      <c r="E802" s="14">
        <v>17671905.34040362</v>
      </c>
      <c r="F802" s="17">
        <f>E802/E801-1</f>
        <v>0</v>
      </c>
      <c r="G802" s="14">
        <v>22776046.5954763</v>
      </c>
      <c r="H802" s="17">
        <f>G802/G801-1</f>
        <v>0</v>
      </c>
      <c r="I802" s="14">
        <f>MAX(I801,B802)</f>
        <v>0</v>
      </c>
      <c r="J802" s="17">
        <f>B802/I802-1</f>
        <v>0</v>
      </c>
    </row>
    <row r="803" spans="1:10">
      <c r="A803" s="6">
        <v>45373</v>
      </c>
      <c r="B803" s="14">
        <v>32392355.59154314</v>
      </c>
      <c r="D803" s="17">
        <f>B803/B802-1</f>
        <v>0</v>
      </c>
      <c r="E803" s="14">
        <v>17759074.48840023</v>
      </c>
      <c r="F803" s="17">
        <f>E803/E802-1</f>
        <v>0</v>
      </c>
      <c r="G803" s="14">
        <v>22927438.62301726</v>
      </c>
      <c r="H803" s="17">
        <f>G803/G802-1</f>
        <v>0</v>
      </c>
      <c r="I803" s="14">
        <f>MAX(I802,B803)</f>
        <v>0</v>
      </c>
      <c r="J803" s="17">
        <f>B803/I803-1</f>
        <v>0</v>
      </c>
    </row>
    <row r="804" spans="1:10">
      <c r="A804" s="6">
        <v>45377</v>
      </c>
      <c r="B804" s="14">
        <v>32746688.83627364</v>
      </c>
      <c r="D804" s="17">
        <f>B804/B803-1</f>
        <v>0</v>
      </c>
      <c r="E804" s="14">
        <v>17769379.76691496</v>
      </c>
      <c r="F804" s="17">
        <f>E804/E803-1</f>
        <v>0</v>
      </c>
      <c r="G804" s="14">
        <v>23010374.1300447</v>
      </c>
      <c r="H804" s="17">
        <f>G804/G803-1</f>
        <v>0</v>
      </c>
      <c r="I804" s="14">
        <f>MAX(I803,B804)</f>
        <v>0</v>
      </c>
      <c r="J804" s="17">
        <f>B804/I804-1</f>
        <v>0</v>
      </c>
    </row>
    <row r="805" spans="1:10">
      <c r="A805" s="6">
        <v>45378</v>
      </c>
      <c r="B805" s="14">
        <v>32750601.7738503</v>
      </c>
      <c r="D805" s="17">
        <f>B805/B804-1</f>
        <v>0</v>
      </c>
      <c r="E805" s="14">
        <v>17843550.48926321</v>
      </c>
      <c r="F805" s="17">
        <f>E805/E804-1</f>
        <v>0</v>
      </c>
      <c r="G805" s="14">
        <v>23043892.83400504</v>
      </c>
      <c r="H805" s="17">
        <f>G805/G804-1</f>
        <v>0</v>
      </c>
      <c r="I805" s="14">
        <f>MAX(I804,B805)</f>
        <v>0</v>
      </c>
      <c r="J805" s="17">
        <f>B805/I805-1</f>
        <v>0</v>
      </c>
    </row>
    <row r="806" spans="1:10">
      <c r="A806" s="6">
        <v>45379</v>
      </c>
      <c r="B806" s="14">
        <v>33000886.3149044</v>
      </c>
      <c r="D806" s="17">
        <f>B806/B805-1</f>
        <v>0</v>
      </c>
      <c r="E806" s="14">
        <v>17993053.15001998</v>
      </c>
      <c r="F806" s="17">
        <f>E806/E805-1</f>
        <v>0</v>
      </c>
      <c r="G806" s="14">
        <v>23210220.21679098</v>
      </c>
      <c r="H806" s="17">
        <f>G806/G805-1</f>
        <v>0</v>
      </c>
      <c r="I806" s="14">
        <f>MAX(I805,B806)</f>
        <v>0</v>
      </c>
      <c r="J806" s="17">
        <f>B806/I806-1</f>
        <v>0</v>
      </c>
    </row>
    <row r="807" spans="1:10">
      <c r="A807" s="6">
        <v>45383</v>
      </c>
      <c r="B807" s="14">
        <v>33208654.30435251</v>
      </c>
      <c r="D807" s="17">
        <f>B807/B806-1</f>
        <v>0</v>
      </c>
      <c r="E807" s="14">
        <v>18204797.45310657</v>
      </c>
      <c r="F807" s="17">
        <f>E807/E806-1</f>
        <v>0</v>
      </c>
      <c r="G807" s="14">
        <v>23721646.39296</v>
      </c>
      <c r="H807" s="17">
        <f>G807/G806-1</f>
        <v>0</v>
      </c>
      <c r="I807" s="14">
        <f>MAX(I806,B807)</f>
        <v>0</v>
      </c>
      <c r="J807" s="17">
        <f>B807/I807-1</f>
        <v>0</v>
      </c>
    </row>
    <row r="808" spans="1:10">
      <c r="A808" s="6">
        <v>45384</v>
      </c>
      <c r="B808" s="14">
        <v>33684904.60113306</v>
      </c>
      <c r="D808" s="17">
        <f>B808/B807-1</f>
        <v>0</v>
      </c>
      <c r="E808" s="14">
        <v>18274245.17819832</v>
      </c>
      <c r="F808" s="17">
        <f>E808/E807-1</f>
        <v>0</v>
      </c>
      <c r="G808" s="14">
        <v>23931560.86831323</v>
      </c>
      <c r="H808" s="17">
        <f>G808/G807-1</f>
        <v>0</v>
      </c>
      <c r="I808" s="14">
        <f>MAX(I807,B808)</f>
        <v>0</v>
      </c>
      <c r="J808" s="17">
        <f>B808/I808-1</f>
        <v>0</v>
      </c>
    </row>
    <row r="809" spans="1:10">
      <c r="A809" s="6">
        <v>45385</v>
      </c>
      <c r="B809" s="14">
        <v>33699488.68387675</v>
      </c>
      <c r="D809" s="17">
        <f>B809/B808-1</f>
        <v>0</v>
      </c>
      <c r="E809" s="14">
        <v>18307052.80483962</v>
      </c>
      <c r="F809" s="17">
        <f>E809/E808-1</f>
        <v>0</v>
      </c>
      <c r="G809" s="14">
        <v>24089781.8723929</v>
      </c>
      <c r="H809" s="17">
        <f>G809/G808-1</f>
        <v>0</v>
      </c>
      <c r="I809" s="14">
        <f>MAX(I808,B809)</f>
        <v>0</v>
      </c>
      <c r="J809" s="17">
        <f>B809/I809-1</f>
        <v>0</v>
      </c>
    </row>
    <row r="810" spans="1:10">
      <c r="A810" s="6">
        <v>45386</v>
      </c>
      <c r="B810" s="14">
        <v>33679528.02618124</v>
      </c>
      <c r="D810" s="17">
        <f>B810/B809-1</f>
        <v>0</v>
      </c>
      <c r="E810" s="14">
        <v>18360299.50713244</v>
      </c>
      <c r="F810" s="17">
        <f>E810/E809-1</f>
        <v>0</v>
      </c>
      <c r="G810" s="14">
        <v>24140460.08994206</v>
      </c>
      <c r="H810" s="17">
        <f>G810/G809-1</f>
        <v>0</v>
      </c>
      <c r="I810" s="14">
        <f>MAX(I809,B810)</f>
        <v>0</v>
      </c>
      <c r="J810" s="17">
        <f>B810/I810-1</f>
        <v>0</v>
      </c>
    </row>
    <row r="811" spans="1:10">
      <c r="A811" s="6">
        <v>45387</v>
      </c>
      <c r="B811" s="14">
        <v>33665932.04366118</v>
      </c>
      <c r="D811" s="17">
        <f>B811/B810-1</f>
        <v>0</v>
      </c>
      <c r="E811" s="14">
        <v>18405997.34627569</v>
      </c>
      <c r="F811" s="17">
        <f>E811/E810-1</f>
        <v>0</v>
      </c>
      <c r="G811" s="14">
        <v>24241633.73901019</v>
      </c>
      <c r="H811" s="17">
        <f>G811/G810-1</f>
        <v>0</v>
      </c>
      <c r="I811" s="14">
        <f>MAX(I810,B811)</f>
        <v>0</v>
      </c>
      <c r="J811" s="17">
        <f>B811/I811-1</f>
        <v>0</v>
      </c>
    </row>
    <row r="812" spans="1:10">
      <c r="A812" s="6">
        <v>45390</v>
      </c>
      <c r="B812" s="14">
        <v>34030327.78253903</v>
      </c>
      <c r="D812" s="17">
        <f>B812/B811-1</f>
        <v>0</v>
      </c>
      <c r="E812" s="14">
        <v>18499280.99199427</v>
      </c>
      <c r="F812" s="17">
        <f>E812/E811-1</f>
        <v>0</v>
      </c>
      <c r="G812" s="14">
        <v>24289690.19749548</v>
      </c>
      <c r="H812" s="17">
        <f>G812/G811-1</f>
        <v>0</v>
      </c>
      <c r="I812" s="14">
        <f>MAX(I811,B812)</f>
        <v>0</v>
      </c>
      <c r="J812" s="17">
        <f>B812/I812-1</f>
        <v>0</v>
      </c>
    </row>
    <row r="813" spans="1:10">
      <c r="A813" s="6">
        <v>45391</v>
      </c>
      <c r="B813" s="14">
        <v>33520759.57036652</v>
      </c>
      <c r="D813" s="17">
        <f>B813/B812-1</f>
        <v>0</v>
      </c>
      <c r="E813" s="14">
        <v>18474926.10184955</v>
      </c>
      <c r="F813" s="17">
        <f>E813/E812-1</f>
        <v>0</v>
      </c>
      <c r="G813" s="14">
        <v>24243782.50098289</v>
      </c>
      <c r="H813" s="17">
        <f>G813/G812-1</f>
        <v>0</v>
      </c>
      <c r="I813" s="14">
        <f>MAX(I812,B813)</f>
        <v>0</v>
      </c>
      <c r="J813" s="17">
        <f>B813/I813-1</f>
        <v>0</v>
      </c>
    </row>
    <row r="814" spans="1:10">
      <c r="A814" s="6">
        <v>45392</v>
      </c>
      <c r="B814" s="14">
        <v>33578323.24866972</v>
      </c>
      <c r="D814" s="17">
        <f>B814/B813-1</f>
        <v>0</v>
      </c>
      <c r="E814" s="14">
        <v>18586438.42124157</v>
      </c>
      <c r="F814" s="17">
        <f>E814/E813-1</f>
        <v>0</v>
      </c>
      <c r="G814" s="14">
        <v>24403578.48104615</v>
      </c>
      <c r="H814" s="17">
        <f>G814/G813-1</f>
        <v>0</v>
      </c>
      <c r="I814" s="14">
        <f>MAX(I813,B814)</f>
        <v>0</v>
      </c>
      <c r="J814" s="17">
        <f>B814/I814-1</f>
        <v>0</v>
      </c>
    </row>
    <row r="815" spans="1:10">
      <c r="A815" s="6">
        <v>45394</v>
      </c>
      <c r="B815" s="14">
        <v>33608701.26468576</v>
      </c>
      <c r="D815" s="17">
        <f>B815/B814-1</f>
        <v>0</v>
      </c>
      <c r="E815" s="14">
        <v>18436519.08924221</v>
      </c>
      <c r="F815" s="17">
        <f>E815/E814-1</f>
        <v>0</v>
      </c>
      <c r="G815" s="14">
        <v>24259384.25356539</v>
      </c>
      <c r="H815" s="17">
        <f>G815/G814-1</f>
        <v>0</v>
      </c>
      <c r="I815" s="14">
        <f>MAX(I814,B815)</f>
        <v>0</v>
      </c>
      <c r="J815" s="17">
        <f>B815/I815-1</f>
        <v>0</v>
      </c>
    </row>
    <row r="816" spans="1:10">
      <c r="A816" s="6">
        <v>45397</v>
      </c>
      <c r="B816" s="14">
        <v>33406758.045239</v>
      </c>
      <c r="D816" s="17">
        <f>B816/B815-1</f>
        <v>0</v>
      </c>
      <c r="E816" s="14">
        <v>18200336.3806539</v>
      </c>
      <c r="F816" s="17">
        <f>E816/E815-1</f>
        <v>0</v>
      </c>
      <c r="G816" s="14">
        <v>23893371.80995998</v>
      </c>
      <c r="H816" s="17">
        <f>G816/G815-1</f>
        <v>0</v>
      </c>
      <c r="I816" s="14">
        <f>MAX(I815,B816)</f>
        <v>0</v>
      </c>
      <c r="J816" s="17">
        <f>B816/I816-1</f>
        <v>0</v>
      </c>
    </row>
    <row r="817" spans="1:10">
      <c r="A817" s="6">
        <v>45398</v>
      </c>
      <c r="B817" s="14">
        <v>33510660.44146847</v>
      </c>
      <c r="D817" s="17">
        <f>B817/B816-1</f>
        <v>0</v>
      </c>
      <c r="E817" s="14">
        <v>18151655.66648969</v>
      </c>
      <c r="F817" s="17">
        <f>E817/E816-1</f>
        <v>0</v>
      </c>
      <c r="G817" s="14">
        <v>23910050.54039104</v>
      </c>
      <c r="H817" s="17">
        <f>G817/G816-1</f>
        <v>0</v>
      </c>
      <c r="I817" s="14">
        <f>MAX(I816,B817)</f>
        <v>0</v>
      </c>
      <c r="J817" s="17">
        <f>B817/I817-1</f>
        <v>0</v>
      </c>
    </row>
    <row r="818" spans="1:10">
      <c r="A818" s="6">
        <v>45400</v>
      </c>
      <c r="B818" s="14">
        <v>33268892.55984749</v>
      </c>
      <c r="D818" s="17">
        <f>B818/B817-1</f>
        <v>0</v>
      </c>
      <c r="E818" s="14">
        <v>18065151.77305195</v>
      </c>
      <c r="F818" s="17">
        <f>E818/E817-1</f>
        <v>0</v>
      </c>
      <c r="G818" s="14">
        <v>23838978.51152974</v>
      </c>
      <c r="H818" s="17">
        <f>G818/G817-1</f>
        <v>0</v>
      </c>
      <c r="I818" s="14">
        <f>MAX(I817,B818)</f>
        <v>0</v>
      </c>
      <c r="J818" s="17">
        <f>B818/I818-1</f>
        <v>0</v>
      </c>
    </row>
    <row r="819" spans="1:10">
      <c r="A819" s="6">
        <v>45401</v>
      </c>
      <c r="B819" s="14">
        <v>33183175.93410106</v>
      </c>
      <c r="D819" s="17">
        <f>B819/B818-1</f>
        <v>0</v>
      </c>
      <c r="E819" s="14">
        <v>18119786.08265492</v>
      </c>
      <c r="F819" s="17">
        <f>E819/E818-1</f>
        <v>0</v>
      </c>
      <c r="G819" s="14">
        <v>23799223.13965881</v>
      </c>
      <c r="H819" s="17">
        <f>G819/G818-1</f>
        <v>0</v>
      </c>
      <c r="I819" s="14">
        <f>MAX(I818,B819)</f>
        <v>0</v>
      </c>
      <c r="J819" s="17">
        <f>B819/I819-1</f>
        <v>0</v>
      </c>
    </row>
    <row r="820" spans="1:10">
      <c r="A820" s="6">
        <v>45404</v>
      </c>
      <c r="B820" s="14">
        <v>33163489.1467268</v>
      </c>
      <c r="D820" s="17">
        <f>B820/B819-1</f>
        <v>0</v>
      </c>
      <c r="E820" s="14">
        <v>18289223.41699992</v>
      </c>
      <c r="F820" s="17">
        <f>E820/E819-1</f>
        <v>0</v>
      </c>
      <c r="G820" s="14">
        <v>24034300.55954984</v>
      </c>
      <c r="H820" s="17">
        <f>G820/G819-1</f>
        <v>0</v>
      </c>
      <c r="I820" s="14">
        <f>MAX(I819,B820)</f>
        <v>0</v>
      </c>
      <c r="J820" s="17">
        <f>B820/I820-1</f>
        <v>0</v>
      </c>
    </row>
    <row r="821" spans="1:10">
      <c r="A821" s="6">
        <v>45405</v>
      </c>
      <c r="B821" s="14">
        <v>33420900.9332617</v>
      </c>
      <c r="D821" s="17">
        <f>B821/B820-1</f>
        <v>0</v>
      </c>
      <c r="E821" s="14">
        <v>18359252.35286324</v>
      </c>
      <c r="F821" s="17">
        <f>E821/E820-1</f>
        <v>0</v>
      </c>
      <c r="G821" s="14">
        <v>24222435.06934672</v>
      </c>
      <c r="H821" s="17">
        <f>G821/G820-1</f>
        <v>0</v>
      </c>
      <c r="I821" s="14">
        <f>MAX(I820,B821)</f>
        <v>0</v>
      </c>
      <c r="J821" s="17">
        <f>B821/I821-1</f>
        <v>0</v>
      </c>
    </row>
    <row r="822" spans="1:10">
      <c r="A822" s="6">
        <v>45406</v>
      </c>
      <c r="B822" s="14">
        <v>33802718.74140523</v>
      </c>
      <c r="D822" s="17">
        <f>B822/B821-1</f>
        <v>0</v>
      </c>
      <c r="E822" s="14">
        <v>18429465.0005387</v>
      </c>
      <c r="F822" s="17">
        <f>E822/E821-1</f>
        <v>0</v>
      </c>
      <c r="G822" s="14">
        <v>24402429.07657062</v>
      </c>
      <c r="H822" s="17">
        <f>G822/G821-1</f>
        <v>0</v>
      </c>
      <c r="I822" s="14">
        <f>MAX(I821,B822)</f>
        <v>0</v>
      </c>
      <c r="J822" s="17">
        <f>B822/I822-1</f>
        <v>0</v>
      </c>
    </row>
    <row r="823" spans="1:10">
      <c r="A823" s="6">
        <v>45407</v>
      </c>
      <c r="B823" s="14">
        <v>34186609.83454455</v>
      </c>
      <c r="D823" s="17">
        <f>B823/B822-1</f>
        <v>0</v>
      </c>
      <c r="E823" s="14">
        <v>18552357.29329527</v>
      </c>
      <c r="F823" s="17">
        <f>E823/E822-1</f>
        <v>0</v>
      </c>
      <c r="G823" s="14">
        <v>24558148.88752848</v>
      </c>
      <c r="H823" s="17">
        <f>G823/G822-1</f>
        <v>0</v>
      </c>
      <c r="I823" s="14">
        <f>MAX(I822,B823)</f>
        <v>0</v>
      </c>
      <c r="J823" s="17">
        <f>B823/I823-1</f>
        <v>0</v>
      </c>
    </row>
    <row r="824" spans="1:10">
      <c r="A824" s="6">
        <v>45408</v>
      </c>
      <c r="B824" s="14">
        <v>34405341.87633096</v>
      </c>
      <c r="D824" s="17">
        <f>B824/B823-1</f>
        <v>0</v>
      </c>
      <c r="E824" s="14">
        <v>18527858.00823515</v>
      </c>
      <c r="F824" s="17">
        <f>E824/E823-1</f>
        <v>0</v>
      </c>
      <c r="G824" s="14">
        <v>24663852.63609502</v>
      </c>
      <c r="H824" s="17">
        <f>G824/G823-1</f>
        <v>0</v>
      </c>
      <c r="I824" s="14">
        <f>MAX(I823,B824)</f>
        <v>0</v>
      </c>
      <c r="J824" s="17">
        <f>B824/I824-1</f>
        <v>0</v>
      </c>
    </row>
    <row r="825" spans="1:10">
      <c r="A825" s="6">
        <v>45411</v>
      </c>
      <c r="B825" s="14">
        <v>34449751.70815425</v>
      </c>
      <c r="D825" s="17">
        <f>B825/B824-1</f>
        <v>0</v>
      </c>
      <c r="E825" s="14">
        <v>18664635.88432499</v>
      </c>
      <c r="F825" s="17">
        <f>E825/E824-1</f>
        <v>0</v>
      </c>
      <c r="G825" s="14">
        <v>24779017.18769164</v>
      </c>
      <c r="H825" s="17">
        <f>G825/G824-1</f>
        <v>0</v>
      </c>
      <c r="I825" s="14">
        <f>MAX(I824,B825)</f>
        <v>0</v>
      </c>
      <c r="J825" s="17">
        <f>B825/I825-1</f>
        <v>0</v>
      </c>
    </row>
    <row r="826" spans="1:10">
      <c r="A826" s="6">
        <v>45412</v>
      </c>
      <c r="B826" s="14">
        <v>34531183.62720791</v>
      </c>
      <c r="D826" s="17">
        <f>B826/B825-1</f>
        <v>0</v>
      </c>
      <c r="E826" s="14">
        <v>18669970.28882762</v>
      </c>
      <c r="F826" s="17">
        <f>E826/E825-1</f>
        <v>0</v>
      </c>
      <c r="G826" s="14">
        <v>24829068.80325495</v>
      </c>
      <c r="H826" s="17">
        <f>G826/G825-1</f>
        <v>0</v>
      </c>
      <c r="I826" s="14">
        <f>MAX(I825,B826)</f>
        <v>0</v>
      </c>
      <c r="J826" s="17">
        <f>B826/I826-1</f>
        <v>0</v>
      </c>
    </row>
    <row r="827" spans="1:10">
      <c r="A827" s="6">
        <v>45414</v>
      </c>
      <c r="B827" s="14">
        <v>35201513.22181224</v>
      </c>
      <c r="D827" s="17">
        <f>B827/B826-1</f>
        <v>0</v>
      </c>
      <c r="E827" s="14">
        <v>18747683.52044374</v>
      </c>
      <c r="F827" s="17">
        <f>E827/E826-1</f>
        <v>0</v>
      </c>
      <c r="G827" s="14">
        <v>24955348.15479083</v>
      </c>
      <c r="H827" s="17">
        <f>G827/G826-1</f>
        <v>0</v>
      </c>
      <c r="I827" s="14">
        <f>MAX(I826,B827)</f>
        <v>0</v>
      </c>
      <c r="J827" s="17">
        <f>B827/I827-1</f>
        <v>0</v>
      </c>
    </row>
    <row r="828" spans="1:10">
      <c r="A828" s="6">
        <v>45415</v>
      </c>
      <c r="B828" s="14">
        <v>34825265.54509723</v>
      </c>
      <c r="D828" s="17">
        <f>B828/B827-1</f>
        <v>0</v>
      </c>
      <c r="E828" s="14">
        <v>18638271.18589455</v>
      </c>
      <c r="F828" s="17">
        <f>E828/E827-1</f>
        <v>0</v>
      </c>
      <c r="G828" s="14">
        <v>24870311.25381121</v>
      </c>
      <c r="H828" s="17">
        <f>G828/G827-1</f>
        <v>0</v>
      </c>
      <c r="I828" s="14">
        <f>MAX(I827,B828)</f>
        <v>0</v>
      </c>
      <c r="J828" s="17">
        <f>B828/I828-1</f>
        <v>0</v>
      </c>
    </row>
    <row r="829" spans="1:10">
      <c r="A829" s="6">
        <v>45418</v>
      </c>
      <c r="B829" s="14">
        <v>34667487.24002686</v>
      </c>
      <c r="D829" s="17">
        <f>B829/B828-1</f>
        <v>0</v>
      </c>
      <c r="E829" s="14">
        <v>18555034.32534951</v>
      </c>
      <c r="F829" s="17">
        <f>E829/E828-1</f>
        <v>0</v>
      </c>
      <c r="G829" s="14">
        <v>24688953.23923831</v>
      </c>
      <c r="H829" s="17">
        <f>G829/G828-1</f>
        <v>0</v>
      </c>
      <c r="I829" s="14">
        <f>MAX(I828,B829)</f>
        <v>0</v>
      </c>
      <c r="J829" s="17">
        <f>B829/I829-1</f>
        <v>0</v>
      </c>
    </row>
    <row r="830" spans="1:10">
      <c r="A830" s="6">
        <v>45419</v>
      </c>
      <c r="B830" s="14">
        <v>33752301.64247358</v>
      </c>
      <c r="D830" s="17">
        <f>B830/B829-1</f>
        <v>0</v>
      </c>
      <c r="E830" s="14">
        <v>18352360.32823581</v>
      </c>
      <c r="F830" s="17">
        <f>E830/E829-1</f>
        <v>0</v>
      </c>
      <c r="G830" s="14">
        <v>24347538.89400249</v>
      </c>
      <c r="H830" s="17">
        <f>G830/G829-1</f>
        <v>0</v>
      </c>
      <c r="I830" s="14">
        <f>MAX(I829,B830)</f>
        <v>0</v>
      </c>
      <c r="J830" s="17">
        <f>B830/I830-1</f>
        <v>0</v>
      </c>
    </row>
    <row r="831" spans="1:10">
      <c r="A831" s="6">
        <v>45420</v>
      </c>
      <c r="B831" s="14">
        <v>34101413.71890638</v>
      </c>
      <c r="D831" s="17">
        <f>B831/B830-1</f>
        <v>0</v>
      </c>
      <c r="E831" s="14">
        <v>18414464.61119293</v>
      </c>
      <c r="F831" s="17">
        <f>E831/E830-1</f>
        <v>0</v>
      </c>
      <c r="G831" s="14">
        <v>24487034.59442738</v>
      </c>
      <c r="H831" s="17">
        <f>G831/G830-1</f>
        <v>0</v>
      </c>
      <c r="I831" s="14">
        <f>MAX(I830,B831)</f>
        <v>0</v>
      </c>
      <c r="J831" s="17">
        <f>B831/I831-1</f>
        <v>0</v>
      </c>
    </row>
    <row r="832" spans="1:10">
      <c r="A832" s="6">
        <v>45421</v>
      </c>
      <c r="B832" s="14">
        <v>33752488.46985897</v>
      </c>
      <c r="D832" s="17">
        <f>B832/B831-1</f>
        <v>0</v>
      </c>
      <c r="E832" s="14">
        <v>18095077.1381456</v>
      </c>
      <c r="F832" s="17">
        <f>E832/E831-1</f>
        <v>0</v>
      </c>
      <c r="G832" s="14">
        <v>23988664.05451595</v>
      </c>
      <c r="H832" s="17">
        <f>G832/G831-1</f>
        <v>0</v>
      </c>
      <c r="I832" s="14">
        <f>MAX(I831,B832)</f>
        <v>0</v>
      </c>
      <c r="J832" s="17">
        <f>B832/I832-1</f>
        <v>0</v>
      </c>
    </row>
    <row r="833" spans="1:10">
      <c r="A833" s="6">
        <v>45422</v>
      </c>
      <c r="B833" s="14">
        <v>34211231.0868578</v>
      </c>
      <c r="D833" s="17">
        <f>B833/B832-1</f>
        <v>0</v>
      </c>
      <c r="E833" s="14">
        <v>18206492.69924545</v>
      </c>
      <c r="F833" s="17">
        <f>E833/E832-1</f>
        <v>0</v>
      </c>
      <c r="G833" s="14">
        <v>24237933.55793959</v>
      </c>
      <c r="H833" s="17">
        <f>G833/G832-1</f>
        <v>0</v>
      </c>
      <c r="I833" s="14">
        <f>MAX(I832,B833)</f>
        <v>0</v>
      </c>
      <c r="J833" s="17">
        <f>B833/I833-1</f>
        <v>0</v>
      </c>
    </row>
    <row r="834" spans="1:10">
      <c r="A834" s="6">
        <v>45425</v>
      </c>
      <c r="B834" s="14">
        <v>34514061.55019354</v>
      </c>
      <c r="D834" s="17">
        <f>B834/B833-1</f>
        <v>0</v>
      </c>
      <c r="E834" s="14">
        <v>18244628.49348125</v>
      </c>
      <c r="F834" s="17">
        <f>E834/E833-1</f>
        <v>0</v>
      </c>
      <c r="G834" s="14">
        <v>24276146.45560189</v>
      </c>
      <c r="H834" s="17">
        <f>G834/G833-1</f>
        <v>0</v>
      </c>
      <c r="I834" s="14">
        <f>MAX(I833,B834)</f>
        <v>0</v>
      </c>
      <c r="J834" s="17">
        <f>B834/I834-1</f>
        <v>0</v>
      </c>
    </row>
    <row r="835" spans="1:10">
      <c r="A835" s="6">
        <v>45426</v>
      </c>
      <c r="B835" s="14">
        <v>34964247.4586827</v>
      </c>
      <c r="D835" s="17">
        <f>B835/B834-1</f>
        <v>0</v>
      </c>
      <c r="E835" s="14">
        <v>18399204.3721111</v>
      </c>
      <c r="F835" s="17">
        <f>E835/E834-1</f>
        <v>0</v>
      </c>
      <c r="G835" s="14">
        <v>24593972.52098507</v>
      </c>
      <c r="H835" s="17">
        <f>G835/G834-1</f>
        <v>0</v>
      </c>
      <c r="I835" s="14">
        <f>MAX(I834,B835)</f>
        <v>0</v>
      </c>
      <c r="J835" s="17">
        <f>B835/I835-1</f>
        <v>0</v>
      </c>
    </row>
    <row r="836" spans="1:10">
      <c r="A836" s="6">
        <v>45427</v>
      </c>
      <c r="B836" s="14">
        <v>34693634.15357094</v>
      </c>
      <c r="D836" s="17">
        <f>B836/B835-1</f>
        <v>0</v>
      </c>
      <c r="E836" s="14">
        <v>18451717.66158476</v>
      </c>
      <c r="F836" s="17">
        <f>E836/E835-1</f>
        <v>0</v>
      </c>
      <c r="G836" s="14">
        <v>24745429.46641059</v>
      </c>
      <c r="H836" s="17">
        <f>G836/G835-1</f>
        <v>0</v>
      </c>
      <c r="I836" s="14">
        <f>MAX(I835,B836)</f>
        <v>0</v>
      </c>
      <c r="J836" s="17">
        <f>B836/I836-1</f>
        <v>0</v>
      </c>
    </row>
    <row r="837" spans="1:10">
      <c r="A837" s="6">
        <v>45428</v>
      </c>
      <c r="B837" s="14">
        <v>35100651.51310302</v>
      </c>
      <c r="D837" s="17">
        <f>B837/B836-1</f>
        <v>0</v>
      </c>
      <c r="E837" s="14">
        <v>18619128.38568792</v>
      </c>
      <c r="F837" s="17">
        <f>E837/E836-1</f>
        <v>0</v>
      </c>
      <c r="G837" s="14">
        <v>24951943.57194718</v>
      </c>
      <c r="H837" s="17">
        <f>G837/G836-1</f>
        <v>0</v>
      </c>
      <c r="I837" s="14">
        <f>MAX(I836,B837)</f>
        <v>0</v>
      </c>
      <c r="J837" s="17">
        <f>B837/I837-1</f>
        <v>0</v>
      </c>
    </row>
    <row r="838" spans="1:10">
      <c r="A838" s="6">
        <v>45429</v>
      </c>
      <c r="B838" s="14">
        <v>35333834.61059646</v>
      </c>
      <c r="D838" s="17">
        <f>B838/B837-1</f>
        <v>0</v>
      </c>
      <c r="E838" s="14">
        <v>18740559.98551761</v>
      </c>
      <c r="F838" s="17">
        <f>E838/E837-1</f>
        <v>0</v>
      </c>
      <c r="G838" s="14">
        <v>25221784.26412495</v>
      </c>
      <c r="H838" s="17">
        <f>G838/G837-1</f>
        <v>0</v>
      </c>
      <c r="I838" s="14">
        <f>MAX(I837,B838)</f>
        <v>0</v>
      </c>
      <c r="J838" s="17">
        <f>B838/I838-1</f>
        <v>0</v>
      </c>
    </row>
    <row r="839" spans="1:10">
      <c r="A839" s="6">
        <v>45433</v>
      </c>
      <c r="B839" s="14">
        <v>35541275.44929174</v>
      </c>
      <c r="D839" s="17">
        <f>B839/B838-1</f>
        <v>0</v>
      </c>
      <c r="E839" s="14">
        <v>18850970.77962535</v>
      </c>
      <c r="F839" s="17">
        <f>E839/E838-1</f>
        <v>0</v>
      </c>
      <c r="G839" s="14">
        <v>25485560.17536469</v>
      </c>
      <c r="H839" s="17">
        <f>G839/G838-1</f>
        <v>0</v>
      </c>
      <c r="I839" s="14">
        <f>MAX(I838,B839)</f>
        <v>0</v>
      </c>
      <c r="J839" s="17">
        <f>B839/I839-1</f>
        <v>0</v>
      </c>
    </row>
    <row r="840" spans="1:10">
      <c r="A840" s="6">
        <v>45434</v>
      </c>
      <c r="B840" s="14">
        <v>35538109.99090042</v>
      </c>
      <c r="D840" s="17">
        <f>B840/B839-1</f>
        <v>0</v>
      </c>
      <c r="E840" s="14">
        <v>18896442.81983063</v>
      </c>
      <c r="F840" s="17">
        <f>E840/E839-1</f>
        <v>0</v>
      </c>
      <c r="G840" s="14">
        <v>25549848.31239737</v>
      </c>
      <c r="H840" s="17">
        <f>G840/G839-1</f>
        <v>0</v>
      </c>
      <c r="I840" s="14">
        <f>MAX(I839,B840)</f>
        <v>0</v>
      </c>
      <c r="J840" s="17">
        <f>B840/I840-1</f>
        <v>0</v>
      </c>
    </row>
    <row r="841" spans="1:10">
      <c r="A841" s="6">
        <v>45435</v>
      </c>
      <c r="B841" s="14">
        <v>35723827.59980901</v>
      </c>
      <c r="D841" s="17">
        <f>B841/B840-1</f>
        <v>0</v>
      </c>
      <c r="E841" s="14">
        <v>19121384.23040504</v>
      </c>
      <c r="F841" s="17">
        <f>E841/E840-1</f>
        <v>0</v>
      </c>
      <c r="G841" s="14">
        <v>25742216.50762758</v>
      </c>
      <c r="H841" s="17">
        <f>G841/G840-1</f>
        <v>0</v>
      </c>
      <c r="I841" s="14">
        <f>MAX(I840,B841)</f>
        <v>0</v>
      </c>
      <c r="J841" s="17">
        <f>B841/I841-1</f>
        <v>0</v>
      </c>
    </row>
    <row r="842" spans="1:10">
      <c r="A842" s="6">
        <v>45436</v>
      </c>
      <c r="B842" s="14">
        <v>35855725.21418514</v>
      </c>
      <c r="D842" s="17">
        <f>B842/B841-1</f>
        <v>0</v>
      </c>
      <c r="E842" s="14">
        <v>19117133.24222861</v>
      </c>
      <c r="F842" s="17">
        <f>E842/E841-1</f>
        <v>0</v>
      </c>
      <c r="G842" s="14">
        <v>25734101.02563794</v>
      </c>
      <c r="H842" s="17">
        <f>G842/G841-1</f>
        <v>0</v>
      </c>
      <c r="I842" s="14">
        <f>MAX(I841,B842)</f>
        <v>0</v>
      </c>
      <c r="J842" s="17">
        <f>B842/I842-1</f>
        <v>0</v>
      </c>
    </row>
    <row r="843" spans="1:10">
      <c r="A843" s="6">
        <v>45439</v>
      </c>
      <c r="B843" s="14">
        <v>35886069.79191612</v>
      </c>
      <c r="D843" s="17">
        <f>B843/B842-1</f>
        <v>0</v>
      </c>
      <c r="E843" s="14">
        <v>19126274.61617646</v>
      </c>
      <c r="F843" s="17">
        <f>E843/E842-1</f>
        <v>0</v>
      </c>
      <c r="G843" s="14">
        <v>25823837.87855528</v>
      </c>
      <c r="H843" s="17">
        <f>G843/G842-1</f>
        <v>0</v>
      </c>
      <c r="I843" s="14">
        <f>MAX(I842,B843)</f>
        <v>0</v>
      </c>
      <c r="J843" s="17">
        <f>B843/I843-1</f>
        <v>0</v>
      </c>
    </row>
    <row r="844" spans="1:10">
      <c r="A844" s="6">
        <v>45440</v>
      </c>
      <c r="B844" s="14">
        <v>35439484.81845708</v>
      </c>
      <c r="D844" s="17">
        <f>B844/B843-1</f>
        <v>0</v>
      </c>
      <c r="E844" s="14">
        <v>19033168.80974098</v>
      </c>
      <c r="F844" s="17">
        <f>E844/E843-1</f>
        <v>0</v>
      </c>
      <c r="G844" s="14">
        <v>25621963.21088067</v>
      </c>
      <c r="H844" s="17">
        <f>G844/G843-1</f>
        <v>0</v>
      </c>
      <c r="I844" s="14">
        <f>MAX(I843,B844)</f>
        <v>0</v>
      </c>
      <c r="J844" s="17">
        <f>B844/I844-1</f>
        <v>0</v>
      </c>
    </row>
    <row r="845" spans="1:10">
      <c r="A845" s="6">
        <v>45441</v>
      </c>
      <c r="B845" s="14">
        <v>35345125.59164766</v>
      </c>
      <c r="D845" s="17">
        <f>B845/B844-1</f>
        <v>0</v>
      </c>
      <c r="E845" s="14">
        <v>18917451.32845237</v>
      </c>
      <c r="F845" s="17">
        <f>E845/E844-1</f>
        <v>0</v>
      </c>
      <c r="G845" s="14">
        <v>25581522.20496364</v>
      </c>
      <c r="H845" s="17">
        <f>G845/G844-1</f>
        <v>0</v>
      </c>
      <c r="I845" s="14">
        <f>MAX(I844,B845)</f>
        <v>0</v>
      </c>
      <c r="J845" s="17">
        <f>B845/I845-1</f>
        <v>0</v>
      </c>
    </row>
    <row r="846" spans="1:10">
      <c r="A846" s="6">
        <v>45442</v>
      </c>
      <c r="B846" s="14">
        <v>34915845.91009671</v>
      </c>
      <c r="D846" s="17">
        <f>B846/B845-1</f>
        <v>0</v>
      </c>
      <c r="E846" s="14">
        <v>18724561.38330417</v>
      </c>
      <c r="F846" s="17">
        <f>E846/E845-1</f>
        <v>0</v>
      </c>
      <c r="G846" s="14">
        <v>25276094.80198523</v>
      </c>
      <c r="H846" s="17">
        <f>G846/G845-1</f>
        <v>0</v>
      </c>
      <c r="I846" s="14">
        <f>MAX(I845,B846)</f>
        <v>0</v>
      </c>
      <c r="J846" s="17">
        <f>B846/I846-1</f>
        <v>0</v>
      </c>
    </row>
    <row r="847" spans="1:10">
      <c r="A847" s="6">
        <v>45443</v>
      </c>
      <c r="B847" s="14">
        <v>34952519.91340094</v>
      </c>
      <c r="D847" s="17">
        <f>B847/B846-1</f>
        <v>0</v>
      </c>
      <c r="E847" s="14">
        <v>18783081.30216146</v>
      </c>
      <c r="F847" s="17">
        <f>E847/E846-1</f>
        <v>0</v>
      </c>
      <c r="G847" s="14">
        <v>25361039.94912797</v>
      </c>
      <c r="H847" s="17">
        <f>G847/G846-1</f>
        <v>0</v>
      </c>
      <c r="I847" s="14">
        <f>MAX(I846,B847)</f>
        <v>0</v>
      </c>
      <c r="J847" s="17">
        <f>B847/I847-1</f>
        <v>0</v>
      </c>
    </row>
    <row r="848" spans="1:10">
      <c r="A848" s="6">
        <v>45446</v>
      </c>
      <c r="B848" s="14">
        <v>36161256.28830951</v>
      </c>
      <c r="D848" s="17">
        <f>B848/B847-1</f>
        <v>0</v>
      </c>
      <c r="E848" s="14">
        <v>19401762.00083025</v>
      </c>
      <c r="F848" s="17">
        <f>E848/E847-1</f>
        <v>0</v>
      </c>
      <c r="G848" s="14">
        <v>26063579.30386785</v>
      </c>
      <c r="H848" s="17">
        <f>G848/G847-1</f>
        <v>0</v>
      </c>
      <c r="I848" s="14">
        <f>MAX(I847,B848)</f>
        <v>0</v>
      </c>
      <c r="J848" s="17">
        <f>B848/I848-1</f>
        <v>0</v>
      </c>
    </row>
    <row r="849" spans="1:10">
      <c r="A849" s="6">
        <v>45447</v>
      </c>
      <c r="B849" s="14">
        <v>34259655.11068053</v>
      </c>
      <c r="D849" s="17">
        <f>B849/B848-1</f>
        <v>0</v>
      </c>
      <c r="E849" s="14">
        <v>18091085.38036243</v>
      </c>
      <c r="F849" s="17">
        <f>E849/E848-1</f>
        <v>0</v>
      </c>
      <c r="G849" s="14">
        <v>24296962.95514892</v>
      </c>
      <c r="H849" s="17">
        <f>G849/G848-1</f>
        <v>0</v>
      </c>
      <c r="I849" s="14">
        <f>MAX(I848,B849)</f>
        <v>0</v>
      </c>
      <c r="J849" s="17">
        <f>B849/I849-1</f>
        <v>0</v>
      </c>
    </row>
    <row r="850" spans="1:10">
      <c r="A850" s="6">
        <v>45448</v>
      </c>
      <c r="B850" s="14">
        <v>35721015.29664086</v>
      </c>
      <c r="D850" s="17">
        <f>B850/B849-1</f>
        <v>0</v>
      </c>
      <c r="E850" s="14">
        <v>18742239.83229009</v>
      </c>
      <c r="F850" s="17">
        <f>E850/E849-1</f>
        <v>0</v>
      </c>
      <c r="G850" s="14">
        <v>25191787.34803549</v>
      </c>
      <c r="H850" s="17">
        <f>G850/G849-1</f>
        <v>0</v>
      </c>
      <c r="I850" s="14">
        <f>MAX(I849,B850)</f>
        <v>0</v>
      </c>
      <c r="J850" s="17">
        <f>B850/I850-1</f>
        <v>0</v>
      </c>
    </row>
    <row r="851" spans="1:10">
      <c r="A851" s="6">
        <v>45449</v>
      </c>
      <c r="B851" s="14">
        <v>36245748.09353095</v>
      </c>
      <c r="D851" s="17">
        <f>B851/B850-1</f>
        <v>0</v>
      </c>
      <c r="E851" s="14">
        <v>19019622.37721544</v>
      </c>
      <c r="F851" s="17">
        <f>E851/E850-1</f>
        <v>0</v>
      </c>
      <c r="G851" s="14">
        <v>25756571.7835584</v>
      </c>
      <c r="H851" s="17">
        <f>G851/G850-1</f>
        <v>0</v>
      </c>
      <c r="I851" s="14">
        <f>MAX(I850,B851)</f>
        <v>0</v>
      </c>
      <c r="J851" s="17">
        <f>B851/I851-1</f>
        <v>0</v>
      </c>
    </row>
    <row r="852" spans="1:10">
      <c r="A852" s="6">
        <v>45450</v>
      </c>
      <c r="B852" s="14">
        <v>36648442.99746767</v>
      </c>
      <c r="D852" s="17">
        <f>B852/B851-1</f>
        <v>0</v>
      </c>
      <c r="E852" s="14">
        <v>19375861.08083976</v>
      </c>
      <c r="F852" s="17">
        <f>E852/E851-1</f>
        <v>0</v>
      </c>
      <c r="G852" s="14">
        <v>26190197.45309987</v>
      </c>
      <c r="H852" s="17">
        <f>G852/G851-1</f>
        <v>0</v>
      </c>
      <c r="I852" s="14">
        <f>MAX(I851,B852)</f>
        <v>0</v>
      </c>
      <c r="J852" s="17">
        <f>B852/I852-1</f>
        <v>0</v>
      </c>
    </row>
    <row r="853" spans="1:10">
      <c r="A853" s="6">
        <v>45453</v>
      </c>
      <c r="B853" s="14">
        <v>36925248.17030963</v>
      </c>
      <c r="D853" s="17">
        <f>B853/B852-1</f>
        <v>0</v>
      </c>
      <c r="E853" s="14">
        <v>19416044.07909113</v>
      </c>
      <c r="F853" s="17">
        <f>E853/E852-1</f>
        <v>0</v>
      </c>
      <c r="G853" s="14">
        <v>26385406.17264707</v>
      </c>
      <c r="H853" s="17">
        <f>G853/G852-1</f>
        <v>0</v>
      </c>
      <c r="I853" s="14">
        <f>MAX(I852,B853)</f>
        <v>0</v>
      </c>
      <c r="J853" s="17">
        <f>B853/I853-1</f>
        <v>0</v>
      </c>
    </row>
    <row r="854" spans="1:10">
      <c r="A854" s="6">
        <v>45454</v>
      </c>
      <c r="B854" s="14">
        <v>37006229.26397201</v>
      </c>
      <c r="D854" s="17">
        <f>B854/B853-1</f>
        <v>0</v>
      </c>
      <c r="E854" s="14">
        <v>19455919.59680085</v>
      </c>
      <c r="F854" s="17">
        <f>E854/E853-1</f>
        <v>0</v>
      </c>
      <c r="G854" s="14">
        <v>26572479.89716225</v>
      </c>
      <c r="H854" s="17">
        <f>G854/G853-1</f>
        <v>0</v>
      </c>
      <c r="I854" s="14">
        <f>MAX(I853,B854)</f>
        <v>0</v>
      </c>
      <c r="J854" s="17">
        <f>B854/I854-1</f>
        <v>0</v>
      </c>
    </row>
    <row r="855" spans="1:10">
      <c r="A855" s="6">
        <v>45455</v>
      </c>
      <c r="B855" s="14">
        <v>37241805.58230241</v>
      </c>
      <c r="D855" s="17">
        <f>B855/B854-1</f>
        <v>0</v>
      </c>
      <c r="E855" s="14">
        <v>19553848.96318302</v>
      </c>
      <c r="F855" s="17">
        <f>E855/E854-1</f>
        <v>0</v>
      </c>
      <c r="G855" s="14">
        <v>26771296.01032008</v>
      </c>
      <c r="H855" s="17">
        <f>G855/G854-1</f>
        <v>0</v>
      </c>
      <c r="I855" s="14">
        <f>MAX(I854,B855)</f>
        <v>0</v>
      </c>
      <c r="J855" s="17">
        <f>B855/I855-1</f>
        <v>0</v>
      </c>
    </row>
    <row r="856" spans="1:10">
      <c r="A856" s="6">
        <v>45456</v>
      </c>
      <c r="B856" s="14">
        <v>37639347.66271152</v>
      </c>
      <c r="D856" s="17">
        <f>B856/B855-1</f>
        <v>0</v>
      </c>
      <c r="E856" s="14">
        <v>19655707.39988524</v>
      </c>
      <c r="F856" s="17">
        <f>E856/E855-1</f>
        <v>0</v>
      </c>
      <c r="G856" s="14">
        <v>26935786.14710011</v>
      </c>
      <c r="H856" s="17">
        <f>G856/G855-1</f>
        <v>0</v>
      </c>
      <c r="I856" s="14">
        <f>MAX(I855,B856)</f>
        <v>0</v>
      </c>
      <c r="J856" s="17">
        <f>B856/I856-1</f>
        <v>0</v>
      </c>
    </row>
    <row r="857" spans="1:10">
      <c r="A857" s="6">
        <v>45457</v>
      </c>
      <c r="B857" s="14">
        <v>38157279.15606525</v>
      </c>
      <c r="D857" s="17">
        <f>B857/B856-1</f>
        <v>0</v>
      </c>
      <c r="E857" s="14">
        <v>19781304.14251464</v>
      </c>
      <c r="F857" s="17">
        <f>E857/E856-1</f>
        <v>0</v>
      </c>
      <c r="G857" s="14">
        <v>27167779.05467534</v>
      </c>
      <c r="H857" s="17">
        <f>G857/G856-1</f>
        <v>0</v>
      </c>
      <c r="I857" s="14">
        <f>MAX(I856,B857)</f>
        <v>0</v>
      </c>
      <c r="J857" s="17">
        <f>B857/I857-1</f>
        <v>0</v>
      </c>
    </row>
    <row r="858" spans="1:10">
      <c r="A858" s="6">
        <v>45461</v>
      </c>
      <c r="B858" s="14">
        <v>38570335.36036083</v>
      </c>
      <c r="D858" s="17">
        <f>B858/B857-1</f>
        <v>0</v>
      </c>
      <c r="E858" s="14">
        <v>19884916.96131649</v>
      </c>
      <c r="F858" s="17">
        <f>E858/E857-1</f>
        <v>0</v>
      </c>
      <c r="G858" s="14">
        <v>27328375.73806956</v>
      </c>
      <c r="H858" s="17">
        <f>G858/G857-1</f>
        <v>0</v>
      </c>
      <c r="I858" s="14">
        <f>MAX(I857,B858)</f>
        <v>0</v>
      </c>
      <c r="J858" s="17">
        <f>B858/I858-1</f>
        <v>0</v>
      </c>
    </row>
    <row r="859" spans="1:10">
      <c r="A859" s="6">
        <v>45462</v>
      </c>
      <c r="B859" s="14">
        <v>38075071.63123343</v>
      </c>
      <c r="D859" s="17">
        <f>B859/B858-1</f>
        <v>0</v>
      </c>
      <c r="E859" s="14">
        <v>19792627.292406</v>
      </c>
      <c r="F859" s="17">
        <f>E859/E858-1</f>
        <v>0</v>
      </c>
      <c r="G859" s="14">
        <v>27134364.97105085</v>
      </c>
      <c r="H859" s="17">
        <f>G859/G858-1</f>
        <v>0</v>
      </c>
      <c r="I859" s="14">
        <f>MAX(I858,B859)</f>
        <v>0</v>
      </c>
      <c r="J859" s="17">
        <f>B859/I859-1</f>
        <v>0</v>
      </c>
    </row>
    <row r="860" spans="1:10">
      <c r="A860" s="6">
        <v>45463</v>
      </c>
      <c r="B860" s="14">
        <v>37830506.93403884</v>
      </c>
      <c r="D860" s="17">
        <f>B860/B859-1</f>
        <v>0</v>
      </c>
      <c r="E860" s="14">
        <v>19864992.08689005</v>
      </c>
      <c r="F860" s="17">
        <f>E860/E859-1</f>
        <v>0</v>
      </c>
      <c r="G860" s="14">
        <v>27299765.21732862</v>
      </c>
      <c r="H860" s="17">
        <f>G860/G859-1</f>
        <v>0</v>
      </c>
      <c r="I860" s="14">
        <f>MAX(I859,B860)</f>
        <v>0</v>
      </c>
      <c r="J860" s="17">
        <f>B860/I860-1</f>
        <v>0</v>
      </c>
    </row>
    <row r="861" spans="1:10">
      <c r="A861" s="6">
        <v>45464</v>
      </c>
      <c r="B861" s="14">
        <v>37687249.11669137</v>
      </c>
      <c r="D861" s="17">
        <f>B861/B860-1</f>
        <v>0</v>
      </c>
      <c r="E861" s="14">
        <v>19804575.13361607</v>
      </c>
      <c r="F861" s="17">
        <f>E861/E860-1</f>
        <v>0</v>
      </c>
      <c r="G861" s="14">
        <v>27255730.85307973</v>
      </c>
      <c r="H861" s="17">
        <f>G861/G860-1</f>
        <v>0</v>
      </c>
      <c r="I861" s="14">
        <f>MAX(I860,B861)</f>
        <v>0</v>
      </c>
      <c r="J861" s="17">
        <f>B861/I861-1</f>
        <v>0</v>
      </c>
    </row>
    <row r="862" spans="1:10">
      <c r="A862" s="6">
        <v>45467</v>
      </c>
      <c r="B862" s="14">
        <v>37954051.70822433</v>
      </c>
      <c r="D862" s="17">
        <f>B862/B861-1</f>
        <v>0</v>
      </c>
      <c r="E862" s="14">
        <v>19852633.71385891</v>
      </c>
      <c r="F862" s="17">
        <f>E862/E861-1</f>
        <v>0</v>
      </c>
      <c r="G862" s="14">
        <v>27323341.54851255</v>
      </c>
      <c r="H862" s="17">
        <f>G862/G861-1</f>
        <v>0</v>
      </c>
      <c r="I862" s="14">
        <f>MAX(I861,B862)</f>
        <v>0</v>
      </c>
      <c r="J862" s="17">
        <f>B862/I862-1</f>
        <v>0</v>
      </c>
    </row>
    <row r="863" spans="1:10">
      <c r="A863" s="6">
        <v>45468</v>
      </c>
      <c r="B863" s="14">
        <v>38041179.16993327</v>
      </c>
      <c r="D863" s="17">
        <f>B863/B862-1</f>
        <v>0</v>
      </c>
      <c r="E863" s="14">
        <v>19926215.3802081</v>
      </c>
      <c r="F863" s="17">
        <f>E863/E862-1</f>
        <v>0</v>
      </c>
      <c r="G863" s="14">
        <v>27243018.9025764</v>
      </c>
      <c r="H863" s="17">
        <f>G863/G862-1</f>
        <v>0</v>
      </c>
      <c r="I863" s="14">
        <f>MAX(I862,B863)</f>
        <v>0</v>
      </c>
      <c r="J863" s="17">
        <f>B863/I863-1</f>
        <v>0</v>
      </c>
    </row>
    <row r="864" spans="1:10">
      <c r="A864" s="6">
        <v>45469</v>
      </c>
      <c r="B864" s="14">
        <v>37923282.98393687</v>
      </c>
      <c r="D864" s="17">
        <f>B864/B863-1</f>
        <v>0</v>
      </c>
      <c r="E864" s="14">
        <v>19986086.40266578</v>
      </c>
      <c r="F864" s="17">
        <f>E864/E863-1</f>
        <v>0</v>
      </c>
      <c r="G864" s="14">
        <v>27243687.91312603</v>
      </c>
      <c r="H864" s="17">
        <f>G864/G863-1</f>
        <v>0</v>
      </c>
      <c r="I864" s="14">
        <f>MAX(I863,B864)</f>
        <v>0</v>
      </c>
      <c r="J864" s="17">
        <f>B864/I864-1</f>
        <v>0</v>
      </c>
    </row>
    <row r="865" spans="1:10">
      <c r="A865" s="6">
        <v>45470</v>
      </c>
      <c r="B865" s="14">
        <v>38009040.8466948</v>
      </c>
      <c r="D865" s="17">
        <f>B865/B864-1</f>
        <v>0</v>
      </c>
      <c r="E865" s="14">
        <v>20076649.49234141</v>
      </c>
      <c r="F865" s="17">
        <f>E865/E864-1</f>
        <v>0</v>
      </c>
      <c r="G865" s="14">
        <v>27261206.98598327</v>
      </c>
      <c r="H865" s="17">
        <f>G865/G864-1</f>
        <v>0</v>
      </c>
      <c r="I865" s="14">
        <f>MAX(I864,B865)</f>
        <v>0</v>
      </c>
      <c r="J865" s="17">
        <f>B865/I865-1</f>
        <v>0</v>
      </c>
    </row>
    <row r="866" spans="1:10">
      <c r="A866" s="6">
        <v>45471</v>
      </c>
      <c r="B866" s="14">
        <v>38063030.1229087</v>
      </c>
      <c r="D866" s="17">
        <f>B866/B865-1</f>
        <v>0</v>
      </c>
      <c r="E866" s="14">
        <v>20097469.64906036</v>
      </c>
      <c r="F866" s="17">
        <f>E866/E865-1</f>
        <v>0</v>
      </c>
      <c r="G866" s="14">
        <v>27367486.17644531</v>
      </c>
      <c r="H866" s="17">
        <f>G866/G865-1</f>
        <v>0</v>
      </c>
      <c r="I866" s="14">
        <f>MAX(I865,B866)</f>
        <v>0</v>
      </c>
      <c r="J866" s="17">
        <f>B866/I866-1</f>
        <v>0</v>
      </c>
    </row>
    <row r="867" spans="1:10">
      <c r="A867" s="6">
        <v>45474</v>
      </c>
      <c r="B867" s="14">
        <v>38012659.54208602</v>
      </c>
      <c r="D867" s="17">
        <f>B867/B866-1</f>
        <v>0</v>
      </c>
      <c r="E867" s="14">
        <v>20248001.93711993</v>
      </c>
      <c r="F867" s="17">
        <f>E867/E866-1</f>
        <v>0</v>
      </c>
      <c r="G867" s="14">
        <v>27659833.27933203</v>
      </c>
      <c r="H867" s="17">
        <f>G867/G866-1</f>
        <v>0</v>
      </c>
      <c r="I867" s="14">
        <f>MAX(I866,B867)</f>
        <v>0</v>
      </c>
      <c r="J867" s="17">
        <f>B867/I867-1</f>
        <v>0</v>
      </c>
    </row>
    <row r="868" spans="1:10">
      <c r="A868" s="6">
        <v>45475</v>
      </c>
      <c r="B868" s="14">
        <v>38119816.47739714</v>
      </c>
      <c r="D868" s="17">
        <f>B868/B867-1</f>
        <v>0</v>
      </c>
      <c r="E868" s="14">
        <v>20204600.38798546</v>
      </c>
      <c r="F868" s="17">
        <f>E868/E867-1</f>
        <v>0</v>
      </c>
      <c r="G868" s="14">
        <v>27580803.8784306</v>
      </c>
      <c r="H868" s="17">
        <f>G868/G867-1</f>
        <v>0</v>
      </c>
      <c r="I868" s="14">
        <f>MAX(I867,B868)</f>
        <v>0</v>
      </c>
      <c r="J868" s="17">
        <f>B868/I868-1</f>
        <v>0</v>
      </c>
    </row>
    <row r="869" spans="1:10">
      <c r="A869" s="6">
        <v>45476</v>
      </c>
      <c r="B869" s="14">
        <v>38229443.67529815</v>
      </c>
      <c r="D869" s="17">
        <f>B869/B868-1</f>
        <v>0</v>
      </c>
      <c r="E869" s="14">
        <v>20360050.42584811</v>
      </c>
      <c r="F869" s="17">
        <f>E869/E868-1</f>
        <v>0</v>
      </c>
      <c r="G869" s="14">
        <v>27817271.96544531</v>
      </c>
      <c r="H869" s="17">
        <f>G869/G868-1</f>
        <v>0</v>
      </c>
      <c r="I869" s="14">
        <f>MAX(I868,B869)</f>
        <v>0</v>
      </c>
      <c r="J869" s="17">
        <f>B869/I869-1</f>
        <v>0</v>
      </c>
    </row>
    <row r="870" spans="1:10">
      <c r="A870" s="6">
        <v>45477</v>
      </c>
      <c r="B870" s="14">
        <v>38766129.83603965</v>
      </c>
      <c r="D870" s="17">
        <f>B870/B869-1</f>
        <v>0</v>
      </c>
      <c r="E870" s="14">
        <v>20417151.93727984</v>
      </c>
      <c r="F870" s="17">
        <f>E870/E869-1</f>
        <v>0</v>
      </c>
      <c r="G870" s="14">
        <v>27963037.49954743</v>
      </c>
      <c r="H870" s="17">
        <f>G870/G869-1</f>
        <v>0</v>
      </c>
      <c r="I870" s="14">
        <f>MAX(I869,B870)</f>
        <v>0</v>
      </c>
      <c r="J870" s="17">
        <f>B870/I870-1</f>
        <v>0</v>
      </c>
    </row>
    <row r="871" spans="1:10">
      <c r="A871" s="6">
        <v>45478</v>
      </c>
      <c r="B871" s="14">
        <v>38965148.44183268</v>
      </c>
      <c r="D871" s="17">
        <f>B871/B870-1</f>
        <v>0</v>
      </c>
      <c r="E871" s="14">
        <v>20483571.1014323</v>
      </c>
      <c r="F871" s="17">
        <f>E871/E870-1</f>
        <v>0</v>
      </c>
      <c r="G871" s="14">
        <v>28153154.96316845</v>
      </c>
      <c r="H871" s="17">
        <f>G871/G870-1</f>
        <v>0</v>
      </c>
      <c r="I871" s="14">
        <f>MAX(I870,B871)</f>
        <v>0</v>
      </c>
      <c r="J871" s="17">
        <f>B871/I871-1</f>
        <v>0</v>
      </c>
    </row>
    <row r="872" spans="1:10">
      <c r="A872" s="6">
        <v>45481</v>
      </c>
      <c r="B872" s="14">
        <v>38981355.8441314</v>
      </c>
      <c r="D872" s="17">
        <f>B872/B871-1</f>
        <v>0</v>
      </c>
      <c r="E872" s="14">
        <v>20469843.87936636</v>
      </c>
      <c r="F872" s="17">
        <f>E872/E871-1</f>
        <v>0</v>
      </c>
      <c r="G872" s="14">
        <v>28136298.38341729</v>
      </c>
      <c r="H872" s="17">
        <f>G872/G871-1</f>
        <v>0</v>
      </c>
      <c r="I872" s="14">
        <f>MAX(I871,B872)</f>
        <v>0</v>
      </c>
      <c r="J872" s="17">
        <f>B872/I872-1</f>
        <v>0</v>
      </c>
    </row>
    <row r="873" spans="1:10">
      <c r="A873" s="6">
        <v>45482</v>
      </c>
      <c r="B873" s="14">
        <v>39457675.82992942</v>
      </c>
      <c r="D873" s="17">
        <f>B873/B872-1</f>
        <v>0</v>
      </c>
      <c r="E873" s="14">
        <v>20556542.81201872</v>
      </c>
      <c r="F873" s="17">
        <f>E873/E872-1</f>
        <v>0</v>
      </c>
      <c r="G873" s="14">
        <v>28237912.48165487</v>
      </c>
      <c r="H873" s="17">
        <f>G873/G872-1</f>
        <v>0</v>
      </c>
      <c r="I873" s="14">
        <f>MAX(I872,B873)</f>
        <v>0</v>
      </c>
      <c r="J873" s="17">
        <f>B873/I873-1</f>
        <v>0</v>
      </c>
    </row>
    <row r="874" spans="1:10">
      <c r="A874" s="6">
        <v>45483</v>
      </c>
      <c r="B874" s="14">
        <v>39583687.05729038</v>
      </c>
      <c r="D874" s="17">
        <f>B874/B873-1</f>
        <v>0</v>
      </c>
      <c r="E874" s="14">
        <v>20477585.94765847</v>
      </c>
      <c r="F874" s="17">
        <f>E874/E873-1</f>
        <v>0</v>
      </c>
      <c r="G874" s="14">
        <v>28151223.06725536</v>
      </c>
      <c r="H874" s="17">
        <f>G874/G873-1</f>
        <v>0</v>
      </c>
      <c r="I874" s="14">
        <f>MAX(I873,B874)</f>
        <v>0</v>
      </c>
      <c r="J874" s="17">
        <f>B874/I874-1</f>
        <v>0</v>
      </c>
    </row>
    <row r="875" spans="1:10">
      <c r="A875" s="6">
        <v>45484</v>
      </c>
      <c r="B875" s="14">
        <v>39837205.13034481</v>
      </c>
      <c r="D875" s="17">
        <f>B875/B874-1</f>
        <v>0</v>
      </c>
      <c r="E875" s="14">
        <v>20503157.72726676</v>
      </c>
      <c r="F875" s="17">
        <f>E875/E874-1</f>
        <v>0</v>
      </c>
      <c r="G875" s="14">
        <v>28222151.84746501</v>
      </c>
      <c r="H875" s="17">
        <f>G875/G874-1</f>
        <v>0</v>
      </c>
      <c r="I875" s="14">
        <f>MAX(I874,B875)</f>
        <v>0</v>
      </c>
      <c r="J875" s="17">
        <f>B875/I875-1</f>
        <v>0</v>
      </c>
    </row>
    <row r="876" spans="1:10">
      <c r="A876" s="6">
        <v>45485</v>
      </c>
      <c r="B876" s="14">
        <v>40142427.23558418</v>
      </c>
      <c r="D876" s="17">
        <f>B876/B875-1</f>
        <v>0</v>
      </c>
      <c r="E876" s="14">
        <v>20584523.05796791</v>
      </c>
      <c r="F876" s="17">
        <f>E876/E875-1</f>
        <v>0</v>
      </c>
      <c r="G876" s="14">
        <v>28245916.04919101</v>
      </c>
      <c r="H876" s="17">
        <f>G876/G875-1</f>
        <v>0</v>
      </c>
      <c r="I876" s="14">
        <f>MAX(I875,B876)</f>
        <v>0</v>
      </c>
      <c r="J876" s="17">
        <f>B876/I876-1</f>
        <v>0</v>
      </c>
    </row>
    <row r="877" spans="1:10">
      <c r="A877" s="6">
        <v>45488</v>
      </c>
      <c r="B877" s="14">
        <v>40708264.89227025</v>
      </c>
      <c r="D877" s="17">
        <f>B877/B876-1</f>
        <v>0</v>
      </c>
      <c r="E877" s="14">
        <v>20687466.10838273</v>
      </c>
      <c r="F877" s="17">
        <f>E877/E876-1</f>
        <v>0</v>
      </c>
      <c r="G877" s="14">
        <v>28412091.03425645</v>
      </c>
      <c r="H877" s="17">
        <f>G877/G876-1</f>
        <v>0</v>
      </c>
      <c r="I877" s="14">
        <f>MAX(I876,B877)</f>
        <v>0</v>
      </c>
      <c r="J877" s="17">
        <f>B877/I877-1</f>
        <v>0</v>
      </c>
    </row>
    <row r="878" spans="1:10">
      <c r="A878" s="6">
        <v>45489</v>
      </c>
      <c r="B878" s="14">
        <v>40725125.47097471</v>
      </c>
      <c r="D878" s="17">
        <f>B878/B877-1</f>
        <v>0</v>
      </c>
      <c r="E878" s="14">
        <v>20683460.16679992</v>
      </c>
      <c r="F878" s="17">
        <f>E878/E877-1</f>
        <v>0</v>
      </c>
      <c r="G878" s="14">
        <v>28455251.29051369</v>
      </c>
      <c r="H878" s="17">
        <f>G878/G877-1</f>
        <v>0</v>
      </c>
      <c r="I878" s="14">
        <f>MAX(I877,B878)</f>
        <v>0</v>
      </c>
      <c r="J878" s="17">
        <f>B878/I878-1</f>
        <v>0</v>
      </c>
    </row>
    <row r="879" spans="1:10">
      <c r="A879" s="6">
        <v>45491</v>
      </c>
      <c r="B879" s="14">
        <v>40268667.93673579</v>
      </c>
      <c r="D879" s="17">
        <f>B879/B878-1</f>
        <v>0</v>
      </c>
      <c r="E879" s="14">
        <v>20689615.70781978</v>
      </c>
      <c r="F879" s="17">
        <f>E879/E878-1</f>
        <v>0</v>
      </c>
      <c r="G879" s="14">
        <v>28302837.02513459</v>
      </c>
      <c r="H879" s="17">
        <f>G879/G878-1</f>
        <v>0</v>
      </c>
      <c r="I879" s="14">
        <f>MAX(I878,B879)</f>
        <v>0</v>
      </c>
      <c r="J879" s="17">
        <f>B879/I879-1</f>
        <v>0</v>
      </c>
    </row>
    <row r="880" spans="1:10">
      <c r="A880" s="6">
        <v>45492</v>
      </c>
      <c r="B880" s="14">
        <v>39485276.17501699</v>
      </c>
      <c r="D880" s="17">
        <f>B880/B879-1</f>
        <v>0</v>
      </c>
      <c r="E880" s="14">
        <v>20372857.64328559</v>
      </c>
      <c r="F880" s="17">
        <f>E880/E879-1</f>
        <v>0</v>
      </c>
      <c r="G880" s="14">
        <v>27722785.57355274</v>
      </c>
      <c r="H880" s="17">
        <f>G880/G879-1</f>
        <v>0</v>
      </c>
      <c r="I880" s="14">
        <f>MAX(I879,B880)</f>
        <v>0</v>
      </c>
      <c r="J880" s="17">
        <f>B880/I880-1</f>
        <v>0</v>
      </c>
    </row>
    <row r="881" spans="1:10">
      <c r="A881" s="6">
        <v>45495</v>
      </c>
      <c r="B881" s="14">
        <v>39655390.92779681</v>
      </c>
      <c r="D881" s="17">
        <f>B881/B880-1</f>
        <v>0</v>
      </c>
      <c r="E881" s="14">
        <v>20453212.16171232</v>
      </c>
      <c r="F881" s="17">
        <f>E881/E880-1</f>
        <v>0</v>
      </c>
      <c r="G881" s="14">
        <v>27960522.36785502</v>
      </c>
      <c r="H881" s="17">
        <f>G881/G880-1</f>
        <v>0</v>
      </c>
      <c r="I881" s="14">
        <f>MAX(I880,B881)</f>
        <v>0</v>
      </c>
      <c r="J881" s="17">
        <f>B881/I881-1</f>
        <v>0</v>
      </c>
    </row>
    <row r="882" spans="1:10">
      <c r="A882" s="6">
        <v>45496</v>
      </c>
      <c r="B882" s="14">
        <v>39535686.3420097</v>
      </c>
      <c r="D882" s="17">
        <f>B882/B881-1</f>
        <v>0</v>
      </c>
      <c r="E882" s="14">
        <v>20385138.94684046</v>
      </c>
      <c r="F882" s="17">
        <f>E882/E881-1</f>
        <v>0</v>
      </c>
      <c r="G882" s="14">
        <v>27836778.99740467</v>
      </c>
      <c r="H882" s="17">
        <f>G882/G881-1</f>
        <v>0</v>
      </c>
      <c r="I882" s="14">
        <f>MAX(I881,B882)</f>
        <v>0</v>
      </c>
      <c r="J882" s="17">
        <f>B882/I882-1</f>
        <v>0</v>
      </c>
    </row>
    <row r="883" spans="1:10">
      <c r="A883" s="6">
        <v>45497</v>
      </c>
      <c r="B883" s="14">
        <v>39588288.99828904</v>
      </c>
      <c r="D883" s="17">
        <f>B883/B882-1</f>
        <v>0</v>
      </c>
      <c r="E883" s="14">
        <v>20436258.54485457</v>
      </c>
      <c r="F883" s="17">
        <f>E883/E882-1</f>
        <v>0</v>
      </c>
      <c r="G883" s="14">
        <v>28122465.80670269</v>
      </c>
      <c r="H883" s="17">
        <f>G883/G882-1</f>
        <v>0</v>
      </c>
      <c r="I883" s="14">
        <f>MAX(I882,B883)</f>
        <v>0</v>
      </c>
      <c r="J883" s="17">
        <f>B883/I883-1</f>
        <v>0</v>
      </c>
    </row>
    <row r="884" spans="1:10">
      <c r="A884" s="6">
        <v>45498</v>
      </c>
      <c r="B884" s="14">
        <v>39750086.76527477</v>
      </c>
      <c r="D884" s="17">
        <f>B884/B883-1</f>
        <v>0</v>
      </c>
      <c r="E884" s="14">
        <v>20433487.76920808</v>
      </c>
      <c r="F884" s="17">
        <f>E884/E883-1</f>
        <v>0</v>
      </c>
      <c r="G884" s="14">
        <v>28100392.38417234</v>
      </c>
      <c r="H884" s="17">
        <f>G884/G883-1</f>
        <v>0</v>
      </c>
      <c r="I884" s="14">
        <f>MAX(I883,B884)</f>
        <v>0</v>
      </c>
      <c r="J884" s="17">
        <f>B884/I884-1</f>
        <v>0</v>
      </c>
    </row>
    <row r="885" spans="1:10">
      <c r="A885" s="6">
        <v>45499</v>
      </c>
      <c r="B885" s="14">
        <v>40466300.91594678</v>
      </c>
      <c r="D885" s="17">
        <f>B885/B884-1</f>
        <v>0</v>
      </c>
      <c r="E885" s="14">
        <v>20768640.81750632</v>
      </c>
      <c r="F885" s="17">
        <f>E885/E884-1</f>
        <v>0</v>
      </c>
      <c r="G885" s="14">
        <v>28528849.37284504</v>
      </c>
      <c r="H885" s="17">
        <f>G885/G884-1</f>
        <v>0</v>
      </c>
      <c r="I885" s="14">
        <f>MAX(I884,B885)</f>
        <v>0</v>
      </c>
      <c r="J885" s="17">
        <f>B885/I885-1</f>
        <v>0</v>
      </c>
    </row>
    <row r="886" spans="1:10">
      <c r="A886" s="6">
        <v>45502</v>
      </c>
      <c r="B886" s="14">
        <v>40714328.66772857</v>
      </c>
      <c r="D886" s="17">
        <f>B886/B885-1</f>
        <v>0</v>
      </c>
      <c r="E886" s="14">
        <v>20860711.69904804</v>
      </c>
      <c r="F886" s="17">
        <f>E886/E885-1</f>
        <v>0</v>
      </c>
      <c r="G886" s="14">
        <v>28803567.23112759</v>
      </c>
      <c r="H886" s="17">
        <f>G886/G885-1</f>
        <v>0</v>
      </c>
      <c r="I886" s="14">
        <f>MAX(I885,B886)</f>
        <v>0</v>
      </c>
      <c r="J886" s="17">
        <f>B886/I886-1</f>
        <v>0</v>
      </c>
    </row>
    <row r="887" spans="1:10">
      <c r="A887" s="6">
        <v>45503</v>
      </c>
      <c r="B887" s="14">
        <v>41121451.96091361</v>
      </c>
      <c r="D887" s="17">
        <f>B887/B886-1</f>
        <v>0</v>
      </c>
      <c r="E887" s="14">
        <v>20903348.7093554</v>
      </c>
      <c r="F887" s="17">
        <f>E887/E886-1</f>
        <v>0</v>
      </c>
      <c r="G887" s="14">
        <v>28924683.85256037</v>
      </c>
      <c r="H887" s="17">
        <f>G887/G886-1</f>
        <v>0</v>
      </c>
      <c r="I887" s="14">
        <f>MAX(I886,B887)</f>
        <v>0</v>
      </c>
      <c r="J887" s="17">
        <f>B887/I887-1</f>
        <v>0</v>
      </c>
    </row>
    <row r="888" spans="1:10">
      <c r="A888" s="6">
        <v>45504</v>
      </c>
      <c r="B888" s="14">
        <v>41579135.79661148</v>
      </c>
      <c r="D888" s="17">
        <f>B888/B887-1</f>
        <v>0</v>
      </c>
      <c r="E888" s="14">
        <v>20984512.49562783</v>
      </c>
      <c r="F888" s="17">
        <f>E888/E887-1</f>
        <v>0</v>
      </c>
      <c r="G888" s="14">
        <v>28987094.59658314</v>
      </c>
      <c r="H888" s="17">
        <f>G888/G887-1</f>
        <v>0</v>
      </c>
      <c r="I888" s="14">
        <f>MAX(I887,B888)</f>
        <v>0</v>
      </c>
      <c r="J888" s="17">
        <f>B888/I888-1</f>
        <v>0</v>
      </c>
    </row>
    <row r="889" spans="1:10">
      <c r="A889" s="6">
        <v>45505</v>
      </c>
      <c r="B889" s="14">
        <v>42019743.06180219</v>
      </c>
      <c r="D889" s="17">
        <f>B889/B888-1</f>
        <v>0</v>
      </c>
      <c r="E889" s="14">
        <v>20963929.41597357</v>
      </c>
      <c r="F889" s="17">
        <f>E889/E888-1</f>
        <v>0</v>
      </c>
      <c r="G889" s="14">
        <v>28833741.24813371</v>
      </c>
      <c r="H889" s="17">
        <f>G889/G888-1</f>
        <v>0</v>
      </c>
      <c r="I889" s="14">
        <f>MAX(I888,B889)</f>
        <v>0</v>
      </c>
      <c r="J889" s="17">
        <f>B889/I889-1</f>
        <v>0</v>
      </c>
    </row>
    <row r="890" spans="1:10">
      <c r="A890" s="6">
        <v>45506</v>
      </c>
      <c r="B890" s="14">
        <v>42035661.89878493</v>
      </c>
      <c r="D890" s="17">
        <f>B890/B889-1</f>
        <v>0</v>
      </c>
      <c r="E890" s="14">
        <v>20744511.1587041</v>
      </c>
      <c r="F890" s="17">
        <f>E890/E889-1</f>
        <v>0</v>
      </c>
      <c r="G890" s="14">
        <v>28579526.63702706</v>
      </c>
      <c r="H890" s="17">
        <f>G890/G889-1</f>
        <v>0</v>
      </c>
      <c r="I890" s="14">
        <f>MAX(I889,B890)</f>
        <v>0</v>
      </c>
      <c r="J890" s="17">
        <f>B890/I890-1</f>
        <v>0</v>
      </c>
    </row>
    <row r="891" spans="1:10">
      <c r="A891" s="6">
        <v>45509</v>
      </c>
      <c r="B891" s="14">
        <v>40991485.86357114</v>
      </c>
      <c r="D891" s="17">
        <f>B891/B890-1</f>
        <v>0</v>
      </c>
      <c r="E891" s="14">
        <v>20106024.92932225</v>
      </c>
      <c r="F891" s="17">
        <f>E891/E890-1</f>
        <v>0</v>
      </c>
      <c r="G891" s="14">
        <v>27579259.25077836</v>
      </c>
      <c r="H891" s="17">
        <f>G891/G890-1</f>
        <v>0</v>
      </c>
      <c r="I891" s="14">
        <f>MAX(I890,B891)</f>
        <v>0</v>
      </c>
      <c r="J891" s="17">
        <f>B891/I891-1</f>
        <v>0</v>
      </c>
    </row>
    <row r="892" spans="1:10">
      <c r="A892" s="6">
        <v>45510</v>
      </c>
      <c r="B892" s="14">
        <v>40605822.43759485</v>
      </c>
      <c r="D892" s="17">
        <f>B892/B891-1</f>
        <v>0</v>
      </c>
      <c r="E892" s="14">
        <v>20018550.04470653</v>
      </c>
      <c r="F892" s="17">
        <f>E892/E891-1</f>
        <v>0</v>
      </c>
      <c r="G892" s="14">
        <v>27447666.68721652</v>
      </c>
      <c r="H892" s="17">
        <f>G892/G891-1</f>
        <v>0</v>
      </c>
      <c r="I892" s="14">
        <f>MAX(I891,B892)</f>
        <v>0</v>
      </c>
      <c r="J892" s="17">
        <f>B892/I892-1</f>
        <v>0</v>
      </c>
    </row>
    <row r="893" spans="1:10">
      <c r="A893" s="6">
        <v>45511</v>
      </c>
      <c r="B893" s="14">
        <v>41987366.56714815</v>
      </c>
      <c r="D893" s="17">
        <f>B893/B892-1</f>
        <v>0</v>
      </c>
      <c r="E893" s="14">
        <v>20381282.36090505</v>
      </c>
      <c r="F893" s="17">
        <f>E893/E892-1</f>
        <v>0</v>
      </c>
      <c r="G893" s="14">
        <v>28075415.94579355</v>
      </c>
      <c r="H893" s="17">
        <f>G893/G892-1</f>
        <v>0</v>
      </c>
      <c r="I893" s="14">
        <f>MAX(I892,B893)</f>
        <v>0</v>
      </c>
      <c r="J893" s="17">
        <f>B893/I893-1</f>
        <v>0</v>
      </c>
    </row>
    <row r="894" spans="1:10">
      <c r="A894" s="6">
        <v>45512</v>
      </c>
      <c r="B894" s="14">
        <v>42007029.72643021</v>
      </c>
      <c r="D894" s="17">
        <f>B894/B893-1</f>
        <v>0</v>
      </c>
      <c r="E894" s="14">
        <v>20254517.05667562</v>
      </c>
      <c r="F894" s="17">
        <f>E894/E893-1</f>
        <v>0</v>
      </c>
      <c r="G894" s="14">
        <v>27940112.93352639</v>
      </c>
      <c r="H894" s="17">
        <f>G894/G893-1</f>
        <v>0</v>
      </c>
      <c r="I894" s="14">
        <f>MAX(I893,B894)</f>
        <v>0</v>
      </c>
      <c r="J894" s="17">
        <f>B894/I894-1</f>
        <v>0</v>
      </c>
    </row>
    <row r="895" spans="1:10">
      <c r="A895" s="6">
        <v>45513</v>
      </c>
      <c r="B895" s="14">
        <v>42908154.89160831</v>
      </c>
      <c r="D895" s="17">
        <f>B895/B894-1</f>
        <v>0</v>
      </c>
      <c r="E895" s="14">
        <v>20449769.76664118</v>
      </c>
      <c r="F895" s="17">
        <f>E895/E894-1</f>
        <v>0</v>
      </c>
      <c r="G895" s="14">
        <v>28146385.71678464</v>
      </c>
      <c r="H895" s="17">
        <f>G895/G894-1</f>
        <v>0</v>
      </c>
      <c r="I895" s="14">
        <f>MAX(I894,B895)</f>
        <v>0</v>
      </c>
      <c r="J895" s="17">
        <f>B895/I895-1</f>
        <v>0</v>
      </c>
    </row>
    <row r="896" spans="1:10">
      <c r="A896" s="6">
        <v>45516</v>
      </c>
      <c r="B896" s="14">
        <v>42825468.11475853</v>
      </c>
      <c r="D896" s="17">
        <f>B896/B895-1</f>
        <v>0</v>
      </c>
      <c r="E896" s="14">
        <v>20443918.74670057</v>
      </c>
      <c r="F896" s="17">
        <f>E896/E895-1</f>
        <v>0</v>
      </c>
      <c r="G896" s="14">
        <v>28128911.3026789</v>
      </c>
      <c r="H896" s="17">
        <f>G896/G895-1</f>
        <v>0</v>
      </c>
      <c r="I896" s="14">
        <f>MAX(I895,B896)</f>
        <v>0</v>
      </c>
      <c r="J896" s="17">
        <f>B896/I896-1</f>
        <v>0</v>
      </c>
    </row>
    <row r="897" spans="1:10">
      <c r="A897" s="6">
        <v>45517</v>
      </c>
      <c r="B897" s="14">
        <v>42771921.64873646</v>
      </c>
      <c r="D897" s="17">
        <f>B897/B896-1</f>
        <v>0</v>
      </c>
      <c r="E897" s="14">
        <v>20257501.38878881</v>
      </c>
      <c r="F897" s="17">
        <f>E897/E896-1</f>
        <v>0</v>
      </c>
      <c r="G897" s="14">
        <v>27831337.09532662</v>
      </c>
      <c r="H897" s="17">
        <f>G897/G896-1</f>
        <v>0</v>
      </c>
      <c r="I897" s="14">
        <f>MAX(I896,B897)</f>
        <v>0</v>
      </c>
      <c r="J897" s="17">
        <f>B897/I897-1</f>
        <v>0</v>
      </c>
    </row>
    <row r="898" spans="1:10">
      <c r="A898" s="6">
        <v>45518</v>
      </c>
      <c r="B898" s="14">
        <v>42490575.48357951</v>
      </c>
      <c r="D898" s="17">
        <f>B898/B897-1</f>
        <v>0</v>
      </c>
      <c r="E898" s="14">
        <v>20228890.14973396</v>
      </c>
      <c r="F898" s="17">
        <f>E898/E897-1</f>
        <v>0</v>
      </c>
      <c r="G898" s="14">
        <v>27714397.34362433</v>
      </c>
      <c r="H898" s="17">
        <f>G898/G897-1</f>
        <v>0</v>
      </c>
      <c r="I898" s="14">
        <f>MAX(I897,B898)</f>
        <v>0</v>
      </c>
      <c r="J898" s="17">
        <f>B898/I898-1</f>
        <v>0</v>
      </c>
    </row>
    <row r="899" spans="1:10">
      <c r="A899" s="6">
        <v>45520</v>
      </c>
      <c r="B899" s="14">
        <v>43227463.73275051</v>
      </c>
      <c r="D899" s="17">
        <f>B899/B898-1</f>
        <v>0</v>
      </c>
      <c r="E899" s="14">
        <v>20572330.00213478</v>
      </c>
      <c r="F899" s="17">
        <f>E899/E898-1</f>
        <v>0</v>
      </c>
      <c r="G899" s="14">
        <v>28185051.00580458</v>
      </c>
      <c r="H899" s="17">
        <f>G899/G898-1</f>
        <v>0</v>
      </c>
      <c r="I899" s="14">
        <f>MAX(I898,B899)</f>
        <v>0</v>
      </c>
      <c r="J899" s="17">
        <f>B899/I899-1</f>
        <v>0</v>
      </c>
    </row>
    <row r="900" spans="1:10">
      <c r="A900" s="6">
        <v>45523</v>
      </c>
      <c r="B900" s="14">
        <v>43275157.09293117</v>
      </c>
      <c r="D900" s="17">
        <f>B900/B899-1</f>
        <v>0</v>
      </c>
      <c r="E900" s="14">
        <v>20647590.05555</v>
      </c>
      <c r="F900" s="17">
        <f>E900/E899-1</f>
        <v>0</v>
      </c>
      <c r="G900" s="14">
        <v>28353806.21242492</v>
      </c>
      <c r="H900" s="17">
        <f>G900/G899-1</f>
        <v>0</v>
      </c>
      <c r="I900" s="14">
        <f>MAX(I899,B900)</f>
        <v>0</v>
      </c>
      <c r="J900" s="17">
        <f>B900/I900-1</f>
        <v>0</v>
      </c>
    </row>
    <row r="901" spans="1:10">
      <c r="A901" s="6">
        <v>45524</v>
      </c>
      <c r="B901" s="14">
        <v>43354735.19962957</v>
      </c>
      <c r="D901" s="17">
        <f>B901/B900-1</f>
        <v>0</v>
      </c>
      <c r="E901" s="14">
        <v>20774030.25167765</v>
      </c>
      <c r="F901" s="17">
        <f>E901/E900-1</f>
        <v>0</v>
      </c>
      <c r="G901" s="14">
        <v>28550105.92341424</v>
      </c>
      <c r="H901" s="17">
        <f>G901/G900-1</f>
        <v>0</v>
      </c>
      <c r="I901" s="14">
        <f>MAX(I900,B901)</f>
        <v>0</v>
      </c>
      <c r="J901" s="17">
        <f>B901/I901-1</f>
        <v>0</v>
      </c>
    </row>
    <row r="902" spans="1:10">
      <c r="A902" s="6">
        <v>45525</v>
      </c>
      <c r="B902" s="14">
        <v>43499670.43037824</v>
      </c>
      <c r="D902" s="17">
        <f>B902/B901-1</f>
        <v>0</v>
      </c>
      <c r="E902" s="14">
        <v>20853813.97375831</v>
      </c>
      <c r="F902" s="17">
        <f>E902/E901-1</f>
        <v>0</v>
      </c>
      <c r="G902" s="14">
        <v>28753975.49009146</v>
      </c>
      <c r="H902" s="17">
        <f>G902/G901-1</f>
        <v>0</v>
      </c>
      <c r="I902" s="14">
        <f>MAX(I901,B902)</f>
        <v>0</v>
      </c>
      <c r="J902" s="17">
        <f>B902/I902-1</f>
        <v>0</v>
      </c>
    </row>
    <row r="903" spans="1:10">
      <c r="A903" s="6">
        <v>45526</v>
      </c>
      <c r="B903" s="14">
        <v>43769654.22702908</v>
      </c>
      <c r="D903" s="17">
        <f>B903/B902-1</f>
        <v>0</v>
      </c>
      <c r="E903" s="14">
        <v>20919102.24710165</v>
      </c>
      <c r="F903" s="17">
        <f>E903/E902-1</f>
        <v>0</v>
      </c>
      <c r="G903" s="14">
        <v>28889004.93555622</v>
      </c>
      <c r="H903" s="17">
        <f>G903/G902-1</f>
        <v>0</v>
      </c>
      <c r="I903" s="14">
        <f>MAX(I902,B903)</f>
        <v>0</v>
      </c>
      <c r="J903" s="17">
        <f>B903/I903-1</f>
        <v>0</v>
      </c>
    </row>
    <row r="904" spans="1:10">
      <c r="A904" s="6">
        <v>45527</v>
      </c>
      <c r="B904" s="14">
        <v>44060917.69538526</v>
      </c>
      <c r="D904" s="17">
        <f>B904/B903-1</f>
        <v>0</v>
      </c>
      <c r="E904" s="14">
        <v>20900421.43529373</v>
      </c>
      <c r="F904" s="17">
        <f>E904/E903-1</f>
        <v>0</v>
      </c>
      <c r="G904" s="14">
        <v>28797690.73804082</v>
      </c>
      <c r="H904" s="17">
        <f>G904/G903-1</f>
        <v>0</v>
      </c>
      <c r="I904" s="14">
        <f>MAX(I903,B904)</f>
        <v>0</v>
      </c>
      <c r="J904" s="17">
        <f>B904/I904-1</f>
        <v>0</v>
      </c>
    </row>
    <row r="905" spans="1:10">
      <c r="A905" s="6">
        <v>45530</v>
      </c>
      <c r="B905" s="14">
        <v>44355230.17723038</v>
      </c>
      <c r="D905" s="17">
        <f>B905/B904-1</f>
        <v>0</v>
      </c>
      <c r="E905" s="14">
        <v>21029128.6705899</v>
      </c>
      <c r="F905" s="17">
        <f>E905/E904-1</f>
        <v>0</v>
      </c>
      <c r="G905" s="14">
        <v>28936696.90196551</v>
      </c>
      <c r="H905" s="17">
        <f>G905/G904-1</f>
        <v>0</v>
      </c>
      <c r="I905" s="14">
        <f>MAX(I904,B905)</f>
        <v>0</v>
      </c>
      <c r="J905" s="17">
        <f>B905/I905-1</f>
        <v>0</v>
      </c>
    </row>
    <row r="906" spans="1:10">
      <c r="A906" s="6">
        <v>45531</v>
      </c>
      <c r="B906" s="14">
        <v>44345057.96965027</v>
      </c>
      <c r="D906" s="17">
        <f>B906/B905-1</f>
        <v>0</v>
      </c>
      <c r="E906" s="14">
        <v>21068596.9470643</v>
      </c>
      <c r="F906" s="17">
        <f>E906/E905-1</f>
        <v>0</v>
      </c>
      <c r="G906" s="14">
        <v>29079761.66516896</v>
      </c>
      <c r="H906" s="17">
        <f>G906/G905-1</f>
        <v>0</v>
      </c>
      <c r="I906" s="14">
        <f>MAX(I905,B906)</f>
        <v>0</v>
      </c>
      <c r="J906" s="17">
        <f>B906/I906-1</f>
        <v>0</v>
      </c>
    </row>
    <row r="907" spans="1:10">
      <c r="A907" s="6">
        <v>45532</v>
      </c>
      <c r="B907" s="14">
        <v>44816637.51565263</v>
      </c>
      <c r="D907" s="17">
        <f>B907/B906-1</f>
        <v>0</v>
      </c>
      <c r="E907" s="14">
        <v>21079507.21151447</v>
      </c>
      <c r="F907" s="17">
        <f>E907/E906-1</f>
        <v>0</v>
      </c>
      <c r="G907" s="14">
        <v>29056529.89426012</v>
      </c>
      <c r="H907" s="17">
        <f>G907/G906-1</f>
        <v>0</v>
      </c>
      <c r="I907" s="14">
        <f>MAX(I906,B907)</f>
        <v>0</v>
      </c>
      <c r="J907" s="17">
        <f>B907/I907-1</f>
        <v>0</v>
      </c>
    </row>
    <row r="908" spans="1:10">
      <c r="A908" s="6">
        <v>45533</v>
      </c>
      <c r="B908" s="14">
        <v>44877679.89020808</v>
      </c>
      <c r="D908" s="17">
        <f>B908/B907-1</f>
        <v>0</v>
      </c>
      <c r="E908" s="14">
        <v>21094302.65531789</v>
      </c>
      <c r="F908" s="17">
        <f>E908/E907-1</f>
        <v>0</v>
      </c>
      <c r="G908" s="14">
        <v>28964118.93222422</v>
      </c>
      <c r="H908" s="17">
        <f>G908/G907-1</f>
        <v>0</v>
      </c>
      <c r="I908" s="14">
        <f>MAX(I907,B908)</f>
        <v>0</v>
      </c>
      <c r="J908" s="17">
        <f>B908/I908-1</f>
        <v>0</v>
      </c>
    </row>
    <row r="909" spans="1:10">
      <c r="A909" s="6">
        <v>45534</v>
      </c>
      <c r="B909" s="14">
        <v>45309162.83535637</v>
      </c>
      <c r="D909" s="17">
        <f>B909/B908-1</f>
        <v>0</v>
      </c>
      <c r="E909" s="14">
        <v>21187383.17708629</v>
      </c>
      <c r="F909" s="17">
        <f>E909/E908-1</f>
        <v>0</v>
      </c>
      <c r="G909" s="14">
        <v>29132777.21635732</v>
      </c>
      <c r="H909" s="17">
        <f>G909/G908-1</f>
        <v>0</v>
      </c>
      <c r="I909" s="14">
        <f>MAX(I908,B909)</f>
        <v>0</v>
      </c>
      <c r="J909" s="17">
        <f>B909/I909-1</f>
        <v>0</v>
      </c>
    </row>
    <row r="910" spans="1:10">
      <c r="A910" s="6">
        <v>45537</v>
      </c>
      <c r="B910" s="14">
        <v>45089987.27539133</v>
      </c>
      <c r="D910" s="17">
        <f>B910/B909-1</f>
        <v>0</v>
      </c>
      <c r="E910" s="14">
        <v>21211734.31414802</v>
      </c>
      <c r="F910" s="17">
        <f>E910/E909-1</f>
        <v>0</v>
      </c>
      <c r="G910" s="14">
        <v>29120925.3443867</v>
      </c>
      <c r="H910" s="17">
        <f>G910/G909-1</f>
        <v>0</v>
      </c>
      <c r="I910" s="14">
        <f>MAX(I909,B910)</f>
        <v>0</v>
      </c>
      <c r="J910" s="17">
        <f>B910/I910-1</f>
        <v>0</v>
      </c>
    </row>
    <row r="911" spans="1:10">
      <c r="A911" s="6">
        <v>45538</v>
      </c>
      <c r="B911" s="14">
        <v>45040449.43014841</v>
      </c>
      <c r="D911" s="17">
        <f>B911/B910-1</f>
        <v>0</v>
      </c>
      <c r="E911" s="14">
        <v>21237517.47356175</v>
      </c>
      <c r="F911" s="17">
        <f>E911/E910-1</f>
        <v>0</v>
      </c>
      <c r="G911" s="14">
        <v>29192506.87348524</v>
      </c>
      <c r="H911" s="17">
        <f>G911/G910-1</f>
        <v>0</v>
      </c>
      <c r="I911" s="14">
        <f>MAX(I910,B911)</f>
        <v>0</v>
      </c>
      <c r="J911" s="17">
        <f>B911/I911-1</f>
        <v>0</v>
      </c>
    </row>
    <row r="912" spans="1:10">
      <c r="A912" s="6">
        <v>45539</v>
      </c>
      <c r="B912" s="14">
        <v>44768194.40150476</v>
      </c>
      <c r="D912" s="17">
        <f>B912/B911-1</f>
        <v>0</v>
      </c>
      <c r="E912" s="14">
        <v>21203220.93679234</v>
      </c>
      <c r="F912" s="17">
        <f>E912/E911-1</f>
        <v>0</v>
      </c>
      <c r="G912" s="14">
        <v>29214018.51811774</v>
      </c>
      <c r="H912" s="17">
        <f>G912/G911-1</f>
        <v>0</v>
      </c>
      <c r="I912" s="14">
        <f>MAX(I911,B912)</f>
        <v>0</v>
      </c>
      <c r="J912" s="17">
        <f>B912/I912-1</f>
        <v>0</v>
      </c>
    </row>
    <row r="913" spans="1:10">
      <c r="A913" s="6">
        <v>45540</v>
      </c>
      <c r="B913" s="14">
        <v>44831459.78116089</v>
      </c>
      <c r="D913" s="17">
        <f>B913/B912-1</f>
        <v>0</v>
      </c>
      <c r="E913" s="14">
        <v>21216641.00135276</v>
      </c>
      <c r="F913" s="17">
        <f>E913/E912-1</f>
        <v>0</v>
      </c>
      <c r="G913" s="14">
        <v>29287855.51214175</v>
      </c>
      <c r="H913" s="17">
        <f>G913/G912-1</f>
        <v>0</v>
      </c>
      <c r="I913" s="14">
        <f>MAX(I912,B913)</f>
        <v>0</v>
      </c>
      <c r="J913" s="17">
        <f>B913/I913-1</f>
        <v>0</v>
      </c>
    </row>
    <row r="914" spans="1:10">
      <c r="A914" s="6">
        <v>45541</v>
      </c>
      <c r="B914" s="14">
        <v>44312402.36743599</v>
      </c>
      <c r="D914" s="17">
        <f>B914/B913-1</f>
        <v>0</v>
      </c>
      <c r="E914" s="14">
        <v>20963098.09568031</v>
      </c>
      <c r="F914" s="17">
        <f>E914/E913-1</f>
        <v>0</v>
      </c>
      <c r="G914" s="14">
        <v>28969617.10840164</v>
      </c>
      <c r="H914" s="17">
        <f>G914/G913-1</f>
        <v>0</v>
      </c>
      <c r="I914" s="14">
        <f>MAX(I913,B914)</f>
        <v>0</v>
      </c>
      <c r="J914" s="17">
        <f>B914/I914-1</f>
        <v>0</v>
      </c>
    </row>
    <row r="915" spans="1:10">
      <c r="A915" s="6">
        <v>45544</v>
      </c>
      <c r="B915" s="14">
        <v>44438561.84086659</v>
      </c>
      <c r="D915" s="17">
        <f>B915/B914-1</f>
        <v>0</v>
      </c>
      <c r="E915" s="14">
        <v>20985928.64449151</v>
      </c>
      <c r="F915" s="17">
        <f>E915/E914-1</f>
        <v>0</v>
      </c>
      <c r="G915" s="14">
        <v>28884962.30085044</v>
      </c>
      <c r="H915" s="17">
        <f>G915/G914-1</f>
        <v>0</v>
      </c>
      <c r="I915" s="14">
        <f>MAX(I914,B915)</f>
        <v>0</v>
      </c>
      <c r="J915" s="17">
        <f>B915/I915-1</f>
        <v>0</v>
      </c>
    </row>
    <row r="916" spans="1:10">
      <c r="A916" s="6">
        <v>45545</v>
      </c>
      <c r="B916" s="14">
        <v>44710649.29461966</v>
      </c>
      <c r="D916" s="17">
        <f>B916/B915-1</f>
        <v>0</v>
      </c>
      <c r="E916" s="14">
        <v>21113278.49358542</v>
      </c>
      <c r="F916" s="17">
        <f>E916/E915-1</f>
        <v>0</v>
      </c>
      <c r="G916" s="14">
        <v>29165820.25495319</v>
      </c>
      <c r="H916" s="17">
        <f>G916/G915-1</f>
        <v>0</v>
      </c>
      <c r="I916" s="14">
        <f>MAX(I915,B916)</f>
        <v>0</v>
      </c>
      <c r="J916" s="17">
        <f>B916/I916-1</f>
        <v>0</v>
      </c>
    </row>
    <row r="917" spans="1:10">
      <c r="A917" s="6">
        <v>45546</v>
      </c>
      <c r="B917" s="14">
        <v>44656688.44294521</v>
      </c>
      <c r="D917" s="17">
        <f>B917/B916-1</f>
        <v>0</v>
      </c>
      <c r="E917" s="14">
        <v>21013912.7221441</v>
      </c>
      <c r="F917" s="17">
        <f>E917/E916-1</f>
        <v>0</v>
      </c>
      <c r="G917" s="14">
        <v>29002945.0838979</v>
      </c>
      <c r="H917" s="17">
        <f>G917/G916-1</f>
        <v>0</v>
      </c>
      <c r="I917" s="14">
        <f>MAX(I916,B917)</f>
        <v>0</v>
      </c>
      <c r="J917" s="17">
        <f>B917/I917-1</f>
        <v>0</v>
      </c>
    </row>
    <row r="918" spans="1:10">
      <c r="A918" s="6">
        <v>45547</v>
      </c>
      <c r="B918" s="14">
        <v>45568205.44744636</v>
      </c>
      <c r="D918" s="17">
        <f>B918/B917-1</f>
        <v>0</v>
      </c>
      <c r="E918" s="14">
        <v>21350778.4307631</v>
      </c>
      <c r="F918" s="17">
        <f>E918/E917-1</f>
        <v>0</v>
      </c>
      <c r="G918" s="14">
        <v>29368238.48887199</v>
      </c>
      <c r="H918" s="17">
        <f>G918/G917-1</f>
        <v>0</v>
      </c>
      <c r="I918" s="14">
        <f>MAX(I917,B918)</f>
        <v>0</v>
      </c>
      <c r="J918" s="17">
        <f>B918/I918-1</f>
        <v>0</v>
      </c>
    </row>
    <row r="919" spans="1:10">
      <c r="A919" s="6">
        <v>45548</v>
      </c>
      <c r="B919" s="14">
        <v>45409552.6133035</v>
      </c>
      <c r="D919" s="17">
        <f>B919/B918-1</f>
        <v>0</v>
      </c>
      <c r="E919" s="14">
        <v>21370415.15710212</v>
      </c>
      <c r="F919" s="17">
        <f>E919/E918-1</f>
        <v>0</v>
      </c>
      <c r="G919" s="14">
        <v>29504456.39280577</v>
      </c>
      <c r="H919" s="17">
        <f>G919/G918-1</f>
        <v>0</v>
      </c>
      <c r="I919" s="14">
        <f>MAX(I918,B919)</f>
        <v>0</v>
      </c>
      <c r="J919" s="17">
        <f>B919/I919-1</f>
        <v>0</v>
      </c>
    </row>
    <row r="920" spans="1:10">
      <c r="A920" s="6">
        <v>45551</v>
      </c>
      <c r="B920" s="14">
        <v>45664845.47564021</v>
      </c>
      <c r="D920" s="17">
        <f>B920/B919-1</f>
        <v>0</v>
      </c>
      <c r="E920" s="14">
        <v>21407157.03067952</v>
      </c>
      <c r="F920" s="17">
        <f>E920/E919-1</f>
        <v>0</v>
      </c>
      <c r="G920" s="14">
        <v>29520133.34765196</v>
      </c>
      <c r="H920" s="17">
        <f>G920/G919-1</f>
        <v>0</v>
      </c>
      <c r="I920" s="14">
        <f>MAX(I919,B920)</f>
        <v>0</v>
      </c>
      <c r="J920" s="17">
        <f>B920/I920-1</f>
        <v>0</v>
      </c>
    </row>
    <row r="921" spans="1:10">
      <c r="A921" s="6">
        <v>45552</v>
      </c>
      <c r="B921" s="14">
        <v>45949560.59334473</v>
      </c>
      <c r="D921" s="17">
        <f>B921/B920-1</f>
        <v>0</v>
      </c>
      <c r="E921" s="14">
        <v>21409695.81792345</v>
      </c>
      <c r="F921" s="17">
        <f>E921/E920-1</f>
        <v>0</v>
      </c>
      <c r="G921" s="14">
        <v>29479683.57434956</v>
      </c>
      <c r="H921" s="17">
        <f>G921/G920-1</f>
        <v>0</v>
      </c>
      <c r="I921" s="14">
        <f>MAX(I920,B921)</f>
        <v>0</v>
      </c>
      <c r="J921" s="17">
        <f>B921/I921-1</f>
        <v>0</v>
      </c>
    </row>
    <row r="922" spans="1:10">
      <c r="A922" s="6">
        <v>45553</v>
      </c>
      <c r="B922" s="14">
        <v>45530933.78517888</v>
      </c>
      <c r="D922" s="17">
        <f>B922/B921-1</f>
        <v>0</v>
      </c>
      <c r="E922" s="14">
        <v>21347075.47884792</v>
      </c>
      <c r="F922" s="17">
        <f>E922/E921-1</f>
        <v>0</v>
      </c>
      <c r="G922" s="14">
        <v>29312647.45144312</v>
      </c>
      <c r="H922" s="17">
        <f>G922/G921-1</f>
        <v>0</v>
      </c>
      <c r="I922" s="14">
        <f>MAX(I921,B922)</f>
        <v>0</v>
      </c>
      <c r="J922" s="17">
        <f>B922/I922-1</f>
        <v>0</v>
      </c>
    </row>
    <row r="923" spans="1:10">
      <c r="A923" s="6">
        <v>45554</v>
      </c>
      <c r="B923" s="14">
        <v>45281320.86237819</v>
      </c>
      <c r="D923" s="17">
        <f>B923/B922-1</f>
        <v>0</v>
      </c>
      <c r="E923" s="14">
        <v>21308163.42139808</v>
      </c>
      <c r="F923" s="17">
        <f>E923/E922-1</f>
        <v>0</v>
      </c>
      <c r="G923" s="14">
        <v>29124298.13358703</v>
      </c>
      <c r="H923" s="17">
        <f>G923/G922-1</f>
        <v>0</v>
      </c>
      <c r="I923" s="14">
        <f>MAX(I922,B923)</f>
        <v>0</v>
      </c>
      <c r="J923" s="17">
        <f>B923/I923-1</f>
        <v>0</v>
      </c>
    </row>
    <row r="924" spans="1:10">
      <c r="A924" s="6">
        <v>45555</v>
      </c>
      <c r="B924" s="14">
        <v>46037199.46011876</v>
      </c>
      <c r="D924" s="17">
        <f>B924/B923-1</f>
        <v>0</v>
      </c>
      <c r="E924" s="14">
        <v>21612759.38405854</v>
      </c>
      <c r="F924" s="17">
        <f>E924/E923-1</f>
        <v>0</v>
      </c>
      <c r="G924" s="14">
        <v>29429138.49629436</v>
      </c>
      <c r="H924" s="17">
        <f>G924/G923-1</f>
        <v>0</v>
      </c>
      <c r="I924" s="14">
        <f>MAX(I923,B924)</f>
        <v>0</v>
      </c>
      <c r="J924" s="17">
        <f>B924/I924-1</f>
        <v>0</v>
      </c>
    </row>
    <row r="925" spans="1:10">
      <c r="A925" s="6">
        <v>45558</v>
      </c>
      <c r="B925" s="14">
        <v>46933274.18337239</v>
      </c>
      <c r="D925" s="17">
        <f>B925/B924-1</f>
        <v>0</v>
      </c>
      <c r="E925" s="14">
        <v>21779408.33717091</v>
      </c>
      <c r="F925" s="17">
        <f>E925/E924-1</f>
        <v>0</v>
      </c>
      <c r="G925" s="14">
        <v>29714512.23437843</v>
      </c>
      <c r="H925" s="17">
        <f>G925/G924-1</f>
        <v>0</v>
      </c>
      <c r="I925" s="14">
        <f>MAX(I924,B925)</f>
        <v>0</v>
      </c>
      <c r="J925" s="17">
        <f>B925/I925-1</f>
        <v>0</v>
      </c>
    </row>
    <row r="926" spans="1:10">
      <c r="A926" s="6">
        <v>45559</v>
      </c>
      <c r="B926" s="14">
        <v>47225191.18016408</v>
      </c>
      <c r="D926" s="17">
        <f>B926/B925-1</f>
        <v>0</v>
      </c>
      <c r="E926" s="14">
        <v>21789825.73483539</v>
      </c>
      <c r="F926" s="17">
        <f>E926/E925-1</f>
        <v>0</v>
      </c>
      <c r="G926" s="14">
        <v>29704044.69850665</v>
      </c>
      <c r="H926" s="17">
        <f>G926/G925-1</f>
        <v>0</v>
      </c>
      <c r="I926" s="14">
        <f>MAX(I925,B926)</f>
        <v>0</v>
      </c>
      <c r="J926" s="17">
        <f>B926/I926-1</f>
        <v>0</v>
      </c>
    </row>
    <row r="927" spans="1:10">
      <c r="A927" s="6">
        <v>45560</v>
      </c>
      <c r="B927" s="14">
        <v>47237932.39690267</v>
      </c>
      <c r="D927" s="17">
        <f>B927/B926-1</f>
        <v>0</v>
      </c>
      <c r="E927" s="14">
        <v>21774380.76177333</v>
      </c>
      <c r="F927" s="17">
        <f>E927/E926-1</f>
        <v>0</v>
      </c>
      <c r="G927" s="14">
        <v>29569613.64555819</v>
      </c>
      <c r="H927" s="17">
        <f>G927/G926-1</f>
        <v>0</v>
      </c>
      <c r="I927" s="14">
        <f>MAX(I926,B927)</f>
        <v>0</v>
      </c>
      <c r="J927" s="17">
        <f>B927/I927-1</f>
        <v>0</v>
      </c>
    </row>
    <row r="928" spans="1:10">
      <c r="A928" s="6">
        <v>45561</v>
      </c>
      <c r="B928" s="14">
        <v>47406750.3048309</v>
      </c>
      <c r="D928" s="17">
        <f>B928/B927-1</f>
        <v>0</v>
      </c>
      <c r="E928" s="14">
        <v>21887679.39827596</v>
      </c>
      <c r="F928" s="17">
        <f>E928/E927-1</f>
        <v>0</v>
      </c>
      <c r="G928" s="14">
        <v>29646370.69256604</v>
      </c>
      <c r="H928" s="17">
        <f>G928/G927-1</f>
        <v>0</v>
      </c>
      <c r="I928" s="14">
        <f>MAX(I927,B928)</f>
        <v>0</v>
      </c>
      <c r="J928" s="17">
        <f>B928/I928-1</f>
        <v>0</v>
      </c>
    </row>
    <row r="929" spans="1:10">
      <c r="A929" s="6">
        <v>45562</v>
      </c>
      <c r="B929" s="14">
        <v>47583520.38469011</v>
      </c>
      <c r="D929" s="17">
        <f>B929/B928-1</f>
        <v>0</v>
      </c>
      <c r="E929" s="14">
        <v>21882154.88308379</v>
      </c>
      <c r="F929" s="17">
        <f>E929/E928-1</f>
        <v>0</v>
      </c>
      <c r="G929" s="14">
        <v>29690327.8380131</v>
      </c>
      <c r="H929" s="17">
        <f>G929/G928-1</f>
        <v>0</v>
      </c>
      <c r="I929" s="14">
        <f>MAX(I928,B929)</f>
        <v>0</v>
      </c>
      <c r="J929" s="17">
        <f>B929/I929-1</f>
        <v>0</v>
      </c>
    </row>
    <row r="930" spans="1:10">
      <c r="A930" s="6">
        <v>45565</v>
      </c>
      <c r="B930" s="14">
        <v>46991972.68059271</v>
      </c>
      <c r="D930" s="17">
        <f>B930/B929-1</f>
        <v>0</v>
      </c>
      <c r="E930" s="14">
        <v>21664861.37322942</v>
      </c>
      <c r="F930" s="17">
        <f>E930/E929-1</f>
        <v>0</v>
      </c>
      <c r="G930" s="14">
        <v>29606258.74713968</v>
      </c>
      <c r="H930" s="17">
        <f>G930/G929-1</f>
        <v>0</v>
      </c>
      <c r="I930" s="14">
        <f>MAX(I929,B930)</f>
        <v>0</v>
      </c>
      <c r="J930" s="17">
        <f>B930/I930-1</f>
        <v>0</v>
      </c>
    </row>
    <row r="931" spans="1:10">
      <c r="A931" s="6">
        <v>45566</v>
      </c>
      <c r="B931" s="14">
        <v>46822861.98995767</v>
      </c>
      <c r="D931" s="17">
        <f>B931/B930-1</f>
        <v>0</v>
      </c>
      <c r="E931" s="14">
        <v>21689216.69123159</v>
      </c>
      <c r="F931" s="17">
        <f>E931/E930-1</f>
        <v>0</v>
      </c>
      <c r="G931" s="14">
        <v>29671179.23013414</v>
      </c>
      <c r="H931" s="17">
        <f>G931/G930-1</f>
        <v>0</v>
      </c>
      <c r="I931" s="14">
        <f>MAX(I930,B931)</f>
        <v>0</v>
      </c>
      <c r="J931" s="17">
        <f>B931/I931-1</f>
        <v>0</v>
      </c>
    </row>
    <row r="932" spans="1:10">
      <c r="A932" s="6">
        <v>45568</v>
      </c>
      <c r="B932" s="14">
        <v>46075278.07173417</v>
      </c>
      <c r="D932" s="17">
        <f>B932/B931-1</f>
        <v>0</v>
      </c>
      <c r="E932" s="14">
        <v>21229276.42930925</v>
      </c>
      <c r="F932" s="17">
        <f>E932/E931-1</f>
        <v>0</v>
      </c>
      <c r="G932" s="14">
        <v>29051216.25020999</v>
      </c>
      <c r="H932" s="17">
        <f>G932/G931-1</f>
        <v>0</v>
      </c>
      <c r="I932" s="14">
        <f>MAX(I931,B932)</f>
        <v>0</v>
      </c>
      <c r="J932" s="17">
        <f>B932/I932-1</f>
        <v>0</v>
      </c>
    </row>
    <row r="933" spans="1:10">
      <c r="A933" s="6">
        <v>45569</v>
      </c>
      <c r="B933" s="14">
        <v>45822447.72856816</v>
      </c>
      <c r="D933" s="17">
        <f>B933/B932-1</f>
        <v>0</v>
      </c>
      <c r="E933" s="14">
        <v>21033235.48727771</v>
      </c>
      <c r="F933" s="17">
        <f>E933/E932-1</f>
        <v>0</v>
      </c>
      <c r="G933" s="14">
        <v>28799484.6239294</v>
      </c>
      <c r="H933" s="17">
        <f>G933/G932-1</f>
        <v>0</v>
      </c>
      <c r="I933" s="14">
        <f>MAX(I932,B933)</f>
        <v>0</v>
      </c>
      <c r="J933" s="17">
        <f>B933/I933-1</f>
        <v>0</v>
      </c>
    </row>
    <row r="934" spans="1:10">
      <c r="A934" s="6">
        <v>45572</v>
      </c>
      <c r="B934" s="14">
        <v>45167869.76737668</v>
      </c>
      <c r="D934" s="17">
        <f>B934/B933-1</f>
        <v>0</v>
      </c>
      <c r="E934" s="14">
        <v>20718760.19941565</v>
      </c>
      <c r="F934" s="17">
        <f>E934/E933-1</f>
        <v>0</v>
      </c>
      <c r="G934" s="14">
        <v>28146312.93730331</v>
      </c>
      <c r="H934" s="17">
        <f>G934/G933-1</f>
        <v>0</v>
      </c>
      <c r="I934" s="14">
        <f>MAX(I933,B934)</f>
        <v>0</v>
      </c>
      <c r="J934" s="17">
        <f>B934/I934-1</f>
        <v>0</v>
      </c>
    </row>
    <row r="935" spans="1:10">
      <c r="A935" s="6">
        <v>45573</v>
      </c>
      <c r="B935" s="14">
        <v>46455160.5382245</v>
      </c>
      <c r="D935" s="17">
        <f>B935/B934-1</f>
        <v>0</v>
      </c>
      <c r="E935" s="14">
        <v>21015220.42879855</v>
      </c>
      <c r="F935" s="17">
        <f>E935/E934-1</f>
        <v>0</v>
      </c>
      <c r="G935" s="14">
        <v>28701938.50367405</v>
      </c>
      <c r="H935" s="17">
        <f>G935/G934-1</f>
        <v>0</v>
      </c>
      <c r="I935" s="14">
        <f>MAX(I934,B935)</f>
        <v>0</v>
      </c>
      <c r="J935" s="17">
        <f>B935/I935-1</f>
        <v>0</v>
      </c>
    </row>
    <row r="936" spans="1:10">
      <c r="A936" s="6">
        <v>45574</v>
      </c>
      <c r="B936" s="14">
        <v>47059242.20063528</v>
      </c>
      <c r="D936" s="17">
        <f>B936/B935-1</f>
        <v>0</v>
      </c>
      <c r="E936" s="14">
        <v>21094024.29489613</v>
      </c>
      <c r="F936" s="17">
        <f>E936/E935-1</f>
        <v>0</v>
      </c>
      <c r="G936" s="14">
        <v>28957988.96665704</v>
      </c>
      <c r="H936" s="17">
        <f>G936/G935-1</f>
        <v>0</v>
      </c>
      <c r="I936" s="14">
        <f>MAX(I935,B936)</f>
        <v>0</v>
      </c>
      <c r="J936" s="17">
        <f>B936/I936-1</f>
        <v>0</v>
      </c>
    </row>
    <row r="937" spans="1:10">
      <c r="A937" s="6">
        <v>45575</v>
      </c>
      <c r="B937" s="14">
        <v>46261018.64640188</v>
      </c>
      <c r="D937" s="17">
        <f>B937/B936-1</f>
        <v>0</v>
      </c>
      <c r="E937" s="14">
        <v>21093733.41740583</v>
      </c>
      <c r="F937" s="17">
        <f>E937/E936-1</f>
        <v>0</v>
      </c>
      <c r="G937" s="14">
        <v>28941271.22567445</v>
      </c>
      <c r="H937" s="17">
        <f>G937/G936-1</f>
        <v>0</v>
      </c>
      <c r="I937" s="14">
        <f>MAX(I936,B937)</f>
        <v>0</v>
      </c>
      <c r="J937" s="17">
        <f>B937/I937-1</f>
        <v>0</v>
      </c>
    </row>
    <row r="938" spans="1:10">
      <c r="A938" s="6">
        <v>45576</v>
      </c>
      <c r="B938" s="14">
        <v>46808972.93641195</v>
      </c>
      <c r="D938" s="17">
        <f>B938/B937-1</f>
        <v>0</v>
      </c>
      <c r="E938" s="14">
        <v>21106447.25911393</v>
      </c>
      <c r="F938" s="17">
        <f>E938/E937-1</f>
        <v>0</v>
      </c>
      <c r="G938" s="14">
        <v>28991672.78878162</v>
      </c>
      <c r="H938" s="17">
        <f>G938/G937-1</f>
        <v>0</v>
      </c>
      <c r="I938" s="14">
        <f>MAX(I937,B938)</f>
        <v>0</v>
      </c>
      <c r="J938" s="17">
        <f>B938/I938-1</f>
        <v>0</v>
      </c>
    </row>
    <row r="939" spans="1:10">
      <c r="A939" s="6">
        <v>45579</v>
      </c>
      <c r="B939" s="14">
        <v>46685542.01940716</v>
      </c>
      <c r="D939" s="17">
        <f>B939/B938-1</f>
        <v>0</v>
      </c>
      <c r="E939" s="14">
        <v>21210968.36729271</v>
      </c>
      <c r="F939" s="17">
        <f>E939/E938-1</f>
        <v>0</v>
      </c>
      <c r="G939" s="14">
        <v>29069912.21365991</v>
      </c>
      <c r="H939" s="17">
        <f>G939/G938-1</f>
        <v>0</v>
      </c>
      <c r="I939" s="14">
        <f>MAX(I938,B939)</f>
        <v>0</v>
      </c>
      <c r="J939" s="17">
        <f>B939/I939-1</f>
        <v>0</v>
      </c>
    </row>
    <row r="940" spans="1:10">
      <c r="A940" s="6">
        <v>45580</v>
      </c>
      <c r="B940" s="14">
        <v>46660770.57650718</v>
      </c>
      <c r="D940" s="17">
        <f>B940/B939-1</f>
        <v>0</v>
      </c>
      <c r="E940" s="14">
        <v>21219709.74655469</v>
      </c>
      <c r="F940" s="17">
        <f>E940/E939-1</f>
        <v>0</v>
      </c>
      <c r="G940" s="14">
        <v>29189401.06664331</v>
      </c>
      <c r="H940" s="17">
        <f>G940/G939-1</f>
        <v>0</v>
      </c>
      <c r="I940" s="14">
        <f>MAX(I939,B940)</f>
        <v>0</v>
      </c>
      <c r="J940" s="17">
        <f>B940/I940-1</f>
        <v>0</v>
      </c>
    </row>
    <row r="941" spans="1:10">
      <c r="A941" s="6">
        <v>45581</v>
      </c>
      <c r="B941" s="14">
        <v>46817994.07421431</v>
      </c>
      <c r="D941" s="17">
        <f>B941/B940-1</f>
        <v>0</v>
      </c>
      <c r="E941" s="14">
        <v>21164801.57069145</v>
      </c>
      <c r="F941" s="17">
        <f>E941/E940-1</f>
        <v>0</v>
      </c>
      <c r="G941" s="14">
        <v>29173802.67055975</v>
      </c>
      <c r="H941" s="17">
        <f>G941/G940-1</f>
        <v>0</v>
      </c>
      <c r="I941" s="14">
        <f>MAX(I940,B941)</f>
        <v>0</v>
      </c>
      <c r="J941" s="17">
        <f>B941/I941-1</f>
        <v>0</v>
      </c>
    </row>
    <row r="942" spans="1:10">
      <c r="A942" s="6">
        <v>45582</v>
      </c>
      <c r="B942" s="14">
        <v>45336876.40106025</v>
      </c>
      <c r="D942" s="17">
        <f>B942/B941-1</f>
        <v>0</v>
      </c>
      <c r="E942" s="14">
        <v>20901038.39512753</v>
      </c>
      <c r="F942" s="17">
        <f>E942/E941-1</f>
        <v>0</v>
      </c>
      <c r="G942" s="14">
        <v>28737580.90943488</v>
      </c>
      <c r="H942" s="17">
        <f>G942/G941-1</f>
        <v>0</v>
      </c>
      <c r="I942" s="14">
        <f>MAX(I941,B942)</f>
        <v>0</v>
      </c>
      <c r="J942" s="17">
        <f>B942/I942-1</f>
        <v>0</v>
      </c>
    </row>
    <row r="943" spans="1:10">
      <c r="A943" s="6">
        <v>45583</v>
      </c>
      <c r="B943" s="14">
        <v>45412977.10909862</v>
      </c>
      <c r="D943" s="17">
        <f>B943/B942-1</f>
        <v>0</v>
      </c>
      <c r="E943" s="14">
        <v>20958986.23504357</v>
      </c>
      <c r="F943" s="17">
        <f>E943/E942-1</f>
        <v>0</v>
      </c>
      <c r="G943" s="14">
        <v>28800763.17311494</v>
      </c>
      <c r="H943" s="17">
        <f>G943/G942-1</f>
        <v>0</v>
      </c>
      <c r="I943" s="14">
        <f>MAX(I942,B943)</f>
        <v>0</v>
      </c>
      <c r="J943" s="17">
        <f>B943/I943-1</f>
        <v>0</v>
      </c>
    </row>
    <row r="944" spans="1:10">
      <c r="A944" s="6">
        <v>45586</v>
      </c>
      <c r="B944" s="14">
        <v>45219641.31948081</v>
      </c>
      <c r="D944" s="17">
        <f>B944/B943-1</f>
        <v>0</v>
      </c>
      <c r="E944" s="14">
        <v>20801321.96146401</v>
      </c>
      <c r="F944" s="17">
        <f>E944/E943-1</f>
        <v>0</v>
      </c>
      <c r="G944" s="14">
        <v>28387412.12069746</v>
      </c>
      <c r="H944" s="17">
        <f>G944/G943-1</f>
        <v>0</v>
      </c>
      <c r="I944" s="14">
        <f>MAX(I943,B944)</f>
        <v>0</v>
      </c>
      <c r="J944" s="17">
        <f>B944/I944-1</f>
        <v>0</v>
      </c>
    </row>
    <row r="945" spans="1:10">
      <c r="A945" s="6">
        <v>45587</v>
      </c>
      <c r="B945" s="14">
        <v>44510514.444836</v>
      </c>
      <c r="D945" s="17">
        <f>B945/B944-1</f>
        <v>0</v>
      </c>
      <c r="E945" s="14">
        <v>20401007.88721964</v>
      </c>
      <c r="F945" s="17">
        <f>E945/E944-1</f>
        <v>0</v>
      </c>
      <c r="G945" s="14">
        <v>27561297.95145747</v>
      </c>
      <c r="H945" s="17">
        <f>G945/G944-1</f>
        <v>0</v>
      </c>
      <c r="I945" s="14">
        <f>MAX(I944,B945)</f>
        <v>0</v>
      </c>
      <c r="J945" s="17">
        <f>B945/I945-1</f>
        <v>0</v>
      </c>
    </row>
    <row r="946" spans="1:10">
      <c r="A946" s="6">
        <v>45588</v>
      </c>
      <c r="B946" s="14">
        <v>44664980.61409844</v>
      </c>
      <c r="D946" s="17">
        <f>B946/B945-1</f>
        <v>0</v>
      </c>
      <c r="E946" s="14">
        <v>20425810.52552557</v>
      </c>
      <c r="F946" s="17">
        <f>E946/E945-1</f>
        <v>0</v>
      </c>
      <c r="G946" s="14">
        <v>27670885.6300578</v>
      </c>
      <c r="H946" s="17">
        <f>G946/G945-1</f>
        <v>0</v>
      </c>
      <c r="I946" s="14">
        <f>MAX(I945,B946)</f>
        <v>0</v>
      </c>
      <c r="J946" s="17">
        <f>B946/I946-1</f>
        <v>0</v>
      </c>
    </row>
    <row r="947" spans="1:10">
      <c r="A947" s="6">
        <v>45589</v>
      </c>
      <c r="B947" s="14">
        <v>44297842.99205899</v>
      </c>
      <c r="D947" s="17">
        <f>B947/B946-1</f>
        <v>0</v>
      </c>
      <c r="E947" s="14">
        <v>20379164.0041859</v>
      </c>
      <c r="F947" s="17">
        <f>E947/E946-1</f>
        <v>0</v>
      </c>
      <c r="G947" s="14">
        <v>27567694.64167159</v>
      </c>
      <c r="H947" s="17">
        <f>G947/G946-1</f>
        <v>0</v>
      </c>
      <c r="I947" s="14">
        <f>MAX(I946,B947)</f>
        <v>0</v>
      </c>
      <c r="J947" s="17">
        <f>B947/I947-1</f>
        <v>0</v>
      </c>
    </row>
    <row r="948" spans="1:10">
      <c r="A948" s="6">
        <v>45590</v>
      </c>
      <c r="B948" s="14">
        <v>43767363.59126585</v>
      </c>
      <c r="D948" s="17">
        <f>B948/B947-1</f>
        <v>0</v>
      </c>
      <c r="E948" s="14">
        <v>20121861.77405995</v>
      </c>
      <c r="F948" s="17">
        <f>E948/E947-1</f>
        <v>0</v>
      </c>
      <c r="G948" s="14">
        <v>27044966.24445691</v>
      </c>
      <c r="H948" s="17">
        <f>G948/G947-1</f>
        <v>0</v>
      </c>
      <c r="I948" s="14">
        <f>MAX(I947,B948)</f>
        <v>0</v>
      </c>
      <c r="J948" s="17">
        <f>B948/I948-1</f>
        <v>0</v>
      </c>
    </row>
    <row r="949" spans="1:10">
      <c r="A949" s="6">
        <v>45593</v>
      </c>
      <c r="B949" s="14">
        <v>43469501.88452956</v>
      </c>
      <c r="D949" s="17">
        <f>B949/B948-1</f>
        <v>0</v>
      </c>
      <c r="E949" s="14">
        <v>20257774.87364431</v>
      </c>
      <c r="F949" s="17">
        <f>E949/E948-1</f>
        <v>0</v>
      </c>
      <c r="G949" s="14">
        <v>27237886.72999196</v>
      </c>
      <c r="H949" s="17">
        <f>G949/G948-1</f>
        <v>0</v>
      </c>
      <c r="I949" s="14">
        <f>MAX(I948,B949)</f>
        <v>0</v>
      </c>
      <c r="J949" s="17">
        <f>B949/I949-1</f>
        <v>0</v>
      </c>
    </row>
    <row r="950" spans="1:10">
      <c r="A950" s="6">
        <v>45594</v>
      </c>
      <c r="B950" s="14">
        <v>43494029.37791982</v>
      </c>
      <c r="D950" s="17">
        <f>B950/B949-1</f>
        <v>0</v>
      </c>
      <c r="E950" s="14">
        <v>20388516.19083395</v>
      </c>
      <c r="F950" s="17">
        <f>E950/E949-1</f>
        <v>0</v>
      </c>
      <c r="G950" s="14">
        <v>27479651.92541879</v>
      </c>
      <c r="H950" s="17">
        <f>G950/G949-1</f>
        <v>0</v>
      </c>
      <c r="I950" s="14">
        <f>MAX(I949,B950)</f>
        <v>0</v>
      </c>
      <c r="J950" s="17">
        <f>B950/I950-1</f>
        <v>0</v>
      </c>
    </row>
    <row r="951" spans="1:10">
      <c r="A951" s="6">
        <v>45595</v>
      </c>
      <c r="B951" s="14">
        <v>42877782.88261124</v>
      </c>
      <c r="D951" s="17">
        <f>B951/B950-1</f>
        <v>0</v>
      </c>
      <c r="E951" s="14">
        <v>20349014.2363049</v>
      </c>
      <c r="F951" s="17">
        <f>E951/E950-1</f>
        <v>0</v>
      </c>
      <c r="G951" s="14">
        <v>27670125.98801038</v>
      </c>
      <c r="H951" s="17">
        <f>G951/G950-1</f>
        <v>0</v>
      </c>
      <c r="I951" s="14">
        <f>MAX(I950,B951)</f>
        <v>0</v>
      </c>
      <c r="J951" s="17">
        <f>B951/I951-1</f>
        <v>0</v>
      </c>
    </row>
    <row r="952" spans="1:10">
      <c r="A952" s="6">
        <v>45596</v>
      </c>
      <c r="B952" s="14">
        <v>42869960.08429049</v>
      </c>
      <c r="D952" s="17">
        <f>B952/B951-1</f>
        <v>0</v>
      </c>
      <c r="E952" s="14">
        <v>20295911.47745781</v>
      </c>
      <c r="F952" s="17">
        <f>E952/E951-1</f>
        <v>0</v>
      </c>
      <c r="G952" s="14">
        <v>27774625.28078075</v>
      </c>
      <c r="H952" s="17">
        <f>G952/G951-1</f>
        <v>0</v>
      </c>
      <c r="I952" s="14">
        <f>MAX(I951,B952)</f>
        <v>0</v>
      </c>
      <c r="J952" s="17">
        <f>B952/I952-1</f>
        <v>0</v>
      </c>
    </row>
    <row r="953" spans="1:10">
      <c r="A953" s="6">
        <v>45597</v>
      </c>
      <c r="B953" s="14">
        <v>43139697.15165606</v>
      </c>
      <c r="D953" s="17">
        <f>B953/B952-1</f>
        <v>0</v>
      </c>
      <c r="E953" s="14">
        <v>20416922.60260451</v>
      </c>
      <c r="F953" s="17">
        <f>E953/E952-1</f>
        <v>0</v>
      </c>
      <c r="G953" s="14">
        <v>28001296.51102297</v>
      </c>
      <c r="H953" s="17">
        <f>G953/G952-1</f>
        <v>0</v>
      </c>
      <c r="I953" s="14">
        <f>MAX(I952,B953)</f>
        <v>0</v>
      </c>
      <c r="J953" s="17">
        <f>B953/I953-1</f>
        <v>0</v>
      </c>
    </row>
    <row r="954" spans="1:10">
      <c r="A954" s="6">
        <v>45600</v>
      </c>
      <c r="B954" s="14">
        <v>42571875.60471392</v>
      </c>
      <c r="D954" s="17">
        <f>B954/B953-1</f>
        <v>0</v>
      </c>
      <c r="E954" s="14">
        <v>20144831.90810456</v>
      </c>
      <c r="F954" s="17">
        <f>E954/E953-1</f>
        <v>0</v>
      </c>
      <c r="G954" s="14">
        <v>27555124.76414885</v>
      </c>
      <c r="H954" s="17">
        <f>G954/G953-1</f>
        <v>0</v>
      </c>
      <c r="I954" s="14">
        <f>MAX(I953,B954)</f>
        <v>0</v>
      </c>
      <c r="J954" s="17">
        <f>B954/I954-1</f>
        <v>0</v>
      </c>
    </row>
    <row r="955" spans="1:10">
      <c r="A955" s="6">
        <v>45601</v>
      </c>
      <c r="B955" s="14">
        <v>42698496.30804317</v>
      </c>
      <c r="D955" s="17">
        <f>B955/B954-1</f>
        <v>0</v>
      </c>
      <c r="E955" s="14">
        <v>20290312.48070006</v>
      </c>
      <c r="F955" s="17">
        <f>E955/E954-1</f>
        <v>0</v>
      </c>
      <c r="G955" s="14">
        <v>27717618.33367781</v>
      </c>
      <c r="H955" s="17">
        <f>G955/G954-1</f>
        <v>0</v>
      </c>
      <c r="I955" s="14">
        <f>MAX(I954,B955)</f>
        <v>0</v>
      </c>
      <c r="J955" s="17">
        <f>B955/I955-1</f>
        <v>0</v>
      </c>
    </row>
    <row r="956" spans="1:10">
      <c r="A956" s="6">
        <v>45602</v>
      </c>
      <c r="B956" s="14">
        <v>43421717.01204227</v>
      </c>
      <c r="D956" s="17">
        <f>B956/B955-1</f>
        <v>0</v>
      </c>
      <c r="E956" s="14">
        <v>20605610.28379508</v>
      </c>
      <c r="F956" s="17">
        <f>E956/E955-1</f>
        <v>0</v>
      </c>
      <c r="G956" s="14">
        <v>28235254.93589613</v>
      </c>
      <c r="H956" s="17">
        <f>G956/G955-1</f>
        <v>0</v>
      </c>
      <c r="I956" s="14">
        <f>MAX(I955,B956)</f>
        <v>0</v>
      </c>
      <c r="J956" s="17">
        <f>B956/I956-1</f>
        <v>0</v>
      </c>
    </row>
    <row r="957" spans="1:10">
      <c r="A957" s="6">
        <v>45603</v>
      </c>
      <c r="B957" s="14">
        <v>42705199.2414809</v>
      </c>
      <c r="D957" s="17">
        <f>B957/B956-1</f>
        <v>0</v>
      </c>
      <c r="E957" s="14">
        <v>20405333.37989813</v>
      </c>
      <c r="F957" s="17">
        <f>E957/E956-1</f>
        <v>0</v>
      </c>
      <c r="G957" s="14">
        <v>28012081.80629946</v>
      </c>
      <c r="H957" s="17">
        <f>G957/G956-1</f>
        <v>0</v>
      </c>
      <c r="I957" s="14">
        <f>MAX(I956,B957)</f>
        <v>0</v>
      </c>
      <c r="J957" s="17">
        <f>B957/I957-1</f>
        <v>0</v>
      </c>
    </row>
    <row r="958" spans="1:10">
      <c r="A958" s="6">
        <v>45604</v>
      </c>
      <c r="B958" s="14">
        <v>42378010.2414921</v>
      </c>
      <c r="D958" s="17">
        <f>B958/B957-1</f>
        <v>0</v>
      </c>
      <c r="E958" s="14">
        <v>20262612.4970258</v>
      </c>
      <c r="F958" s="17">
        <f>E958/E957-1</f>
        <v>0</v>
      </c>
      <c r="G958" s="14">
        <v>27618652.8102387</v>
      </c>
      <c r="H958" s="17">
        <f>G958/G957-1</f>
        <v>0</v>
      </c>
      <c r="I958" s="14">
        <f>MAX(I957,B958)</f>
        <v>0</v>
      </c>
      <c r="J958" s="17">
        <f>B958/I958-1</f>
        <v>0</v>
      </c>
    </row>
    <row r="959" spans="1:10">
      <c r="A959" s="6">
        <v>45607</v>
      </c>
      <c r="B959" s="14">
        <v>42348436.34514686</v>
      </c>
      <c r="D959" s="17">
        <f>B959/B958-1</f>
        <v>0</v>
      </c>
      <c r="E959" s="14">
        <v>20215036.19732365</v>
      </c>
      <c r="F959" s="17">
        <f>E959/E958-1</f>
        <v>0</v>
      </c>
      <c r="G959" s="14">
        <v>27403018.50495726</v>
      </c>
      <c r="H959" s="17">
        <f>G959/G958-1</f>
        <v>0</v>
      </c>
      <c r="I959" s="14">
        <f>MAX(I958,B959)</f>
        <v>0</v>
      </c>
      <c r="J959" s="17">
        <f>B959/I959-1</f>
        <v>0</v>
      </c>
    </row>
    <row r="960" spans="1:10">
      <c r="A960" s="6">
        <v>45608</v>
      </c>
      <c r="B960" s="14">
        <v>41989387.19669005</v>
      </c>
      <c r="D960" s="17">
        <f>B960/B959-1</f>
        <v>0</v>
      </c>
      <c r="E960" s="14">
        <v>19983035.09355936</v>
      </c>
      <c r="F960" s="17">
        <f>E960/E959-1</f>
        <v>0</v>
      </c>
      <c r="G960" s="14">
        <v>27049266.39720079</v>
      </c>
      <c r="H960" s="17">
        <f>G960/G959-1</f>
        <v>0</v>
      </c>
      <c r="I960" s="14">
        <f>MAX(I959,B960)</f>
        <v>0</v>
      </c>
      <c r="J960" s="17">
        <f>B960/I960-1</f>
        <v>0</v>
      </c>
    </row>
    <row r="961" spans="1:10">
      <c r="A961" s="6">
        <v>45609</v>
      </c>
      <c r="B961" s="14">
        <v>41395003.17326015</v>
      </c>
      <c r="D961" s="17">
        <f>B961/B960-1</f>
        <v>0</v>
      </c>
      <c r="E961" s="14">
        <v>19611636.42629759</v>
      </c>
      <c r="F961" s="17">
        <f>E961/E960-1</f>
        <v>0</v>
      </c>
      <c r="G961" s="14">
        <v>26363296.79212252</v>
      </c>
      <c r="H961" s="17">
        <f>G961/G960-1</f>
        <v>0</v>
      </c>
      <c r="I961" s="14">
        <f>MAX(I960,B961)</f>
        <v>0</v>
      </c>
      <c r="J961" s="17">
        <f>B961/I961-1</f>
        <v>0</v>
      </c>
    </row>
    <row r="962" spans="1:10">
      <c r="A962" s="6">
        <v>45610</v>
      </c>
      <c r="B962" s="14">
        <v>41536616.77066255</v>
      </c>
      <c r="D962" s="17">
        <f>B962/B961-1</f>
        <v>0</v>
      </c>
      <c r="E962" s="14">
        <v>19655659.98487898</v>
      </c>
      <c r="F962" s="17">
        <f>E962/E961-1</f>
        <v>0</v>
      </c>
      <c r="G962" s="14">
        <v>26455652.77703332</v>
      </c>
      <c r="H962" s="17">
        <f>G962/G961-1</f>
        <v>0</v>
      </c>
      <c r="I962" s="14">
        <f>MAX(I961,B962)</f>
        <v>0</v>
      </c>
      <c r="J962" s="17">
        <f>B962/I962-1</f>
        <v>0</v>
      </c>
    </row>
    <row r="963" spans="1:10">
      <c r="A963" s="6">
        <v>45614</v>
      </c>
      <c r="B963" s="14">
        <v>41675290.91764034</v>
      </c>
      <c r="D963" s="17">
        <f>B963/B962-1</f>
        <v>0</v>
      </c>
      <c r="E963" s="14">
        <v>19599588.97935929</v>
      </c>
      <c r="F963" s="17">
        <f>E963/E962-1</f>
        <v>0</v>
      </c>
      <c r="G963" s="14">
        <v>26331119.78850366</v>
      </c>
      <c r="H963" s="17">
        <f>G963/G962-1</f>
        <v>0</v>
      </c>
      <c r="I963" s="14">
        <f>MAX(I962,B963)</f>
        <v>0</v>
      </c>
      <c r="J963" s="17">
        <f>B963/I963-1</f>
        <v>0</v>
      </c>
    </row>
    <row r="964" spans="1:10">
      <c r="A964" s="6">
        <v>45615</v>
      </c>
      <c r="B964" s="14">
        <v>41823090.76109069</v>
      </c>
      <c r="D964" s="17">
        <f>B964/B963-1</f>
        <v>0</v>
      </c>
      <c r="E964" s="14">
        <v>19694450.04979456</v>
      </c>
      <c r="F964" s="17">
        <f>E964/E963-1</f>
        <v>0</v>
      </c>
      <c r="G964" s="14">
        <v>26508273.2183949</v>
      </c>
      <c r="H964" s="17">
        <f>G964/G963-1</f>
        <v>0</v>
      </c>
      <c r="I964" s="14">
        <f>MAX(I963,B964)</f>
        <v>0</v>
      </c>
      <c r="J964" s="17">
        <f>B964/I964-1</f>
        <v>0</v>
      </c>
    </row>
    <row r="965" spans="1:10">
      <c r="A965" s="6">
        <v>45617</v>
      </c>
      <c r="B965" s="14">
        <v>41814660.30183418</v>
      </c>
      <c r="D965" s="17">
        <f>B965/B964-1</f>
        <v>0</v>
      </c>
      <c r="E965" s="14">
        <v>19531150.73453539</v>
      </c>
      <c r="F965" s="17">
        <f>E965/E964-1</f>
        <v>0</v>
      </c>
      <c r="G965" s="14">
        <v>26164191.87298545</v>
      </c>
      <c r="H965" s="17">
        <f>G965/G964-1</f>
        <v>0</v>
      </c>
      <c r="I965" s="14">
        <f>MAX(I964,B965)</f>
        <v>0</v>
      </c>
      <c r="J965" s="17">
        <f>B965/I965-1</f>
        <v>0</v>
      </c>
    </row>
    <row r="966" spans="1:10">
      <c r="A966" s="6">
        <v>45618</v>
      </c>
      <c r="B966" s="14">
        <v>42491380.70507058</v>
      </c>
      <c r="D966" s="17">
        <f>B966/B965-1</f>
        <v>0</v>
      </c>
      <c r="E966" s="14">
        <v>19894315.9786962</v>
      </c>
      <c r="F966" s="17">
        <f>E966/E965-1</f>
        <v>0</v>
      </c>
      <c r="G966" s="14">
        <v>26504890.32417259</v>
      </c>
      <c r="H966" s="17">
        <f>G966/G965-1</f>
        <v>0</v>
      </c>
      <c r="I966" s="14">
        <f>MAX(I965,B966)</f>
        <v>0</v>
      </c>
      <c r="J966" s="17">
        <f>B966/I966-1</f>
        <v>0</v>
      </c>
    </row>
    <row r="967" spans="1:10">
      <c r="A967" s="6">
        <v>45621</v>
      </c>
      <c r="B967" s="14">
        <v>43347807.99935462</v>
      </c>
      <c r="D967" s="17">
        <f>B967/B966-1</f>
        <v>0</v>
      </c>
      <c r="E967" s="14">
        <v>20188813.99976782</v>
      </c>
      <c r="F967" s="17">
        <f>E967/E966-1</f>
        <v>0</v>
      </c>
      <c r="G967" s="14">
        <v>27028623.45416</v>
      </c>
      <c r="H967" s="17">
        <f>G967/G966-1</f>
        <v>0</v>
      </c>
      <c r="I967" s="14">
        <f>MAX(I966,B967)</f>
        <v>0</v>
      </c>
      <c r="J967" s="17">
        <f>B967/I967-1</f>
        <v>0</v>
      </c>
    </row>
    <row r="968" spans="1:10">
      <c r="A968" s="6">
        <v>45622</v>
      </c>
      <c r="B968" s="14">
        <v>43060781.82994483</v>
      </c>
      <c r="D968" s="17">
        <f>B968/B967-1</f>
        <v>0</v>
      </c>
      <c r="E968" s="14">
        <v>20197786.28426187</v>
      </c>
      <c r="F968" s="17">
        <f>E968/E967-1</f>
        <v>0</v>
      </c>
      <c r="G968" s="14">
        <v>27102813.21347049</v>
      </c>
      <c r="H968" s="17">
        <f>G968/G967-1</f>
        <v>0</v>
      </c>
      <c r="I968" s="14">
        <f>MAX(I967,B968)</f>
        <v>0</v>
      </c>
      <c r="J968" s="17">
        <f>B968/I968-1</f>
        <v>0</v>
      </c>
    </row>
    <row r="969" spans="1:10">
      <c r="A969" s="6">
        <v>45623</v>
      </c>
      <c r="B969" s="14">
        <v>43523277.17508861</v>
      </c>
      <c r="D969" s="17">
        <f>B969/B968-1</f>
        <v>0</v>
      </c>
      <c r="E969" s="14">
        <v>20314452.00617187</v>
      </c>
      <c r="F969" s="17">
        <f>E969/E968-1</f>
        <v>0</v>
      </c>
      <c r="G969" s="14">
        <v>27399592.26793551</v>
      </c>
      <c r="H969" s="17">
        <f>G969/G968-1</f>
        <v>0</v>
      </c>
      <c r="I969" s="14">
        <f>MAX(I968,B969)</f>
        <v>0</v>
      </c>
      <c r="J969" s="17">
        <f>B969/I969-1</f>
        <v>0</v>
      </c>
    </row>
    <row r="970" spans="1:10">
      <c r="A970" s="6">
        <v>45624</v>
      </c>
      <c r="B970" s="14">
        <v>43305556.65943475</v>
      </c>
      <c r="D970" s="17">
        <f>B970/B969-1</f>
        <v>0</v>
      </c>
      <c r="E970" s="14">
        <v>20156649.40320329</v>
      </c>
      <c r="F970" s="17">
        <f>E970/E969-1</f>
        <v>0</v>
      </c>
      <c r="G970" s="14">
        <v>27427417.97819092</v>
      </c>
      <c r="H970" s="17">
        <f>G970/G969-1</f>
        <v>0</v>
      </c>
      <c r="I970" s="14">
        <f>MAX(I969,B970)</f>
        <v>0</v>
      </c>
      <c r="J970" s="17">
        <f>B970/I970-1</f>
        <v>0</v>
      </c>
    </row>
    <row r="971" spans="1:10">
      <c r="A971" s="6">
        <v>45625</v>
      </c>
      <c r="B971" s="14">
        <v>43673702.97141896</v>
      </c>
      <c r="D971" s="17">
        <f>B971/B970-1</f>
        <v>0</v>
      </c>
      <c r="E971" s="14">
        <v>20312179.70442534</v>
      </c>
      <c r="F971" s="17">
        <f>E971/E970-1</f>
        <v>0</v>
      </c>
      <c r="G971" s="14">
        <v>27583226.90636218</v>
      </c>
      <c r="H971" s="17">
        <f>G971/G970-1</f>
        <v>0</v>
      </c>
      <c r="I971" s="14">
        <f>MAX(I970,B971)</f>
        <v>0</v>
      </c>
      <c r="J971" s="17">
        <f>B971/I971-1</f>
        <v>0</v>
      </c>
    </row>
    <row r="972" spans="1:10">
      <c r="A972" s="6">
        <v>45628</v>
      </c>
      <c r="B972" s="14">
        <v>44199206.33999123</v>
      </c>
      <c r="D972" s="17">
        <f>B972/B971-1</f>
        <v>0</v>
      </c>
      <c r="E972" s="14">
        <v>20446415.34330954</v>
      </c>
      <c r="F972" s="17">
        <f>E972/E971-1</f>
        <v>0</v>
      </c>
      <c r="G972" s="14">
        <v>27724417.87249294</v>
      </c>
      <c r="H972" s="17">
        <f>G972/G971-1</f>
        <v>0</v>
      </c>
      <c r="I972" s="14">
        <f>MAX(I971,B972)</f>
        <v>0</v>
      </c>
      <c r="J972" s="17">
        <f>B972/I972-1</f>
        <v>0</v>
      </c>
    </row>
    <row r="973" spans="1:10">
      <c r="A973" s="6">
        <v>45629</v>
      </c>
      <c r="B973" s="14">
        <v>44184675.89863539</v>
      </c>
      <c r="D973" s="17">
        <f>B973/B972-1</f>
        <v>0</v>
      </c>
      <c r="E973" s="14">
        <v>20613031.46547702</v>
      </c>
      <c r="F973" s="17">
        <f>E973/E972-1</f>
        <v>0</v>
      </c>
      <c r="G973" s="14">
        <v>27965270.16431651</v>
      </c>
      <c r="H973" s="17">
        <f>G973/G972-1</f>
        <v>0</v>
      </c>
      <c r="I973" s="14">
        <f>MAX(I972,B973)</f>
        <v>0</v>
      </c>
      <c r="J973" s="17">
        <f>B973/I973-1</f>
        <v>0</v>
      </c>
    </row>
    <row r="974" spans="1:10">
      <c r="A974" s="6">
        <v>45630</v>
      </c>
      <c r="B974" s="14">
        <v>44108668.91348644</v>
      </c>
      <c r="D974" s="17">
        <f>B974/B973-1</f>
        <v>0</v>
      </c>
      <c r="E974" s="14">
        <v>20684437.15411793</v>
      </c>
      <c r="F974" s="17">
        <f>E974/E973-1</f>
        <v>0</v>
      </c>
      <c r="G974" s="14">
        <v>28155532.79007135</v>
      </c>
      <c r="H974" s="17">
        <f>G974/G973-1</f>
        <v>0</v>
      </c>
      <c r="I974" s="14">
        <f>MAX(I973,B974)</f>
        <v>0</v>
      </c>
      <c r="J974" s="17">
        <f>B974/I974-1</f>
        <v>0</v>
      </c>
    </row>
    <row r="975" spans="1:10">
      <c r="A975" s="6">
        <v>45631</v>
      </c>
      <c r="B975" s="14">
        <v>44458642.01964144</v>
      </c>
      <c r="D975" s="17">
        <f>B975/B974-1</f>
        <v>0</v>
      </c>
      <c r="E975" s="14">
        <v>20845214.40205919</v>
      </c>
      <c r="F975" s="17">
        <f>E975/E974-1</f>
        <v>0</v>
      </c>
      <c r="G975" s="14">
        <v>28267463.75622602</v>
      </c>
      <c r="H975" s="17">
        <f>G975/G974-1</f>
        <v>0</v>
      </c>
      <c r="I975" s="14">
        <f>MAX(I974,B975)</f>
        <v>0</v>
      </c>
      <c r="J975" s="17">
        <f>B975/I975-1</f>
        <v>0</v>
      </c>
    </row>
    <row r="976" spans="1:10">
      <c r="A976" s="6">
        <v>45632</v>
      </c>
      <c r="B976" s="14">
        <v>44585721.77421497</v>
      </c>
      <c r="D976" s="17">
        <f>B976/B975-1</f>
        <v>0</v>
      </c>
      <c r="E976" s="14">
        <v>20876788.42866387</v>
      </c>
      <c r="F976" s="17">
        <f>E976/E975-1</f>
        <v>0</v>
      </c>
      <c r="G976" s="14">
        <v>28355957.51165555</v>
      </c>
      <c r="H976" s="17">
        <f>G976/G975-1</f>
        <v>0</v>
      </c>
      <c r="I976" s="14">
        <f>MAX(I975,B976)</f>
        <v>0</v>
      </c>
      <c r="J976" s="17">
        <f>B976/I976-1</f>
        <v>0</v>
      </c>
    </row>
    <row r="977" spans="1:10">
      <c r="A977" s="6">
        <v>45635</v>
      </c>
      <c r="B977" s="14">
        <v>44267412.08775792</v>
      </c>
      <c r="D977" s="17">
        <f>B977/B976-1</f>
        <v>0</v>
      </c>
      <c r="E977" s="14">
        <v>20859782.66871015</v>
      </c>
      <c r="F977" s="17">
        <f>E977/E976-1</f>
        <v>0</v>
      </c>
      <c r="G977" s="14">
        <v>28395855.27777085</v>
      </c>
      <c r="H977" s="17">
        <f>G977/G976-1</f>
        <v>0</v>
      </c>
      <c r="I977" s="14">
        <f>MAX(I976,B977)</f>
        <v>0</v>
      </c>
      <c r="J977" s="17">
        <f>B977/I977-1</f>
        <v>0</v>
      </c>
    </row>
    <row r="978" spans="1:10">
      <c r="A978" s="6">
        <v>45636</v>
      </c>
      <c r="B978" s="14">
        <v>44314393.17963047</v>
      </c>
      <c r="D978" s="17">
        <f>B978/B977-1</f>
        <v>0</v>
      </c>
      <c r="E978" s="14">
        <v>20881285.0579603</v>
      </c>
      <c r="F978" s="17">
        <f>E978/E977-1</f>
        <v>0</v>
      </c>
      <c r="G978" s="14">
        <v>28416256.83930802</v>
      </c>
      <c r="H978" s="17">
        <f>G978/G977-1</f>
        <v>0</v>
      </c>
      <c r="I978" s="14">
        <f>MAX(I977,B978)</f>
        <v>0</v>
      </c>
      <c r="J978" s="17">
        <f>B978/I978-1</f>
        <v>0</v>
      </c>
    </row>
    <row r="979" spans="1:10">
      <c r="A979" s="6">
        <v>45637</v>
      </c>
      <c r="B979" s="14">
        <v>44443854.37496623</v>
      </c>
      <c r="D979" s="17">
        <f>B979/B978-1</f>
        <v>0</v>
      </c>
      <c r="E979" s="14">
        <v>20921014.95868215</v>
      </c>
      <c r="F979" s="17">
        <f>E979/E978-1</f>
        <v>0</v>
      </c>
      <c r="G979" s="14">
        <v>28499584.85674949</v>
      </c>
      <c r="H979" s="17">
        <f>G979/G978-1</f>
        <v>0</v>
      </c>
      <c r="I979" s="14">
        <f>MAX(I978,B979)</f>
        <v>0</v>
      </c>
      <c r="J979" s="17">
        <f>B979/I979-1</f>
        <v>0</v>
      </c>
    </row>
    <row r="980" spans="1:10">
      <c r="A980" s="6">
        <v>45638</v>
      </c>
      <c r="B980" s="14">
        <v>44142440.86348541</v>
      </c>
      <c r="D980" s="17">
        <f>B980/B979-1</f>
        <v>0</v>
      </c>
      <c r="E980" s="14">
        <v>20830877.55734925</v>
      </c>
      <c r="F980" s="17">
        <f>E980/E979-1</f>
        <v>0</v>
      </c>
      <c r="G980" s="14">
        <v>28348934.09825979</v>
      </c>
      <c r="H980" s="17">
        <f>G980/G979-1</f>
        <v>0</v>
      </c>
      <c r="I980" s="14">
        <f>MAX(I979,B980)</f>
        <v>0</v>
      </c>
      <c r="J980" s="17">
        <f>B980/I980-1</f>
        <v>0</v>
      </c>
    </row>
    <row r="981" spans="1:10">
      <c r="A981" s="6">
        <v>45639</v>
      </c>
      <c r="B981" s="14">
        <v>44539679.5616205</v>
      </c>
      <c r="D981" s="17">
        <f>B981/B980-1</f>
        <v>0</v>
      </c>
      <c r="E981" s="14">
        <v>20923723.01718804</v>
      </c>
      <c r="F981" s="17">
        <f>E981/E980-1</f>
        <v>0</v>
      </c>
      <c r="G981" s="14">
        <v>28295273.34148953</v>
      </c>
      <c r="H981" s="17">
        <f>G981/G980-1</f>
        <v>0</v>
      </c>
      <c r="I981" s="14">
        <f>MAX(I980,B981)</f>
        <v>0</v>
      </c>
      <c r="J981" s="17">
        <f>B981/I981-1</f>
        <v>0</v>
      </c>
    </row>
    <row r="982" spans="1:10">
      <c r="A982" s="6">
        <v>45642</v>
      </c>
      <c r="B982" s="14">
        <v>44643834.2712085</v>
      </c>
      <c r="D982" s="17">
        <f>B982/B981-1</f>
        <v>0</v>
      </c>
      <c r="E982" s="14">
        <v>20918897.02546284</v>
      </c>
      <c r="F982" s="17">
        <f>E982/E981-1</f>
        <v>0</v>
      </c>
      <c r="G982" s="14">
        <v>28390758.43803434</v>
      </c>
      <c r="H982" s="17">
        <f>G982/G981-1</f>
        <v>0</v>
      </c>
      <c r="I982" s="14">
        <f>MAX(I981,B982)</f>
        <v>0</v>
      </c>
      <c r="J982" s="17">
        <f>B982/I982-1</f>
        <v>0</v>
      </c>
    </row>
    <row r="983" spans="1:10">
      <c r="A983" s="6">
        <v>45643</v>
      </c>
      <c r="B983" s="14">
        <v>44363648.16732031</v>
      </c>
      <c r="D983" s="17">
        <f>B983/B982-1</f>
        <v>0</v>
      </c>
      <c r="E983" s="14">
        <v>20689944.49836436</v>
      </c>
      <c r="F983" s="17">
        <f>E983/E982-1</f>
        <v>0</v>
      </c>
      <c r="G983" s="14">
        <v>28111424.09956099</v>
      </c>
      <c r="H983" s="17">
        <f>G983/G982-1</f>
        <v>0</v>
      </c>
      <c r="I983" s="14">
        <f>MAX(I982,B983)</f>
        <v>0</v>
      </c>
      <c r="J983" s="17">
        <f>B983/I983-1</f>
        <v>0</v>
      </c>
    </row>
    <row r="984" spans="1:10">
      <c r="A984" s="6">
        <v>45644</v>
      </c>
      <c r="B984" s="14">
        <v>44436696.74714606</v>
      </c>
      <c r="D984" s="17">
        <f>B984/B983-1</f>
        <v>0</v>
      </c>
      <c r="E984" s="14">
        <v>20546387.36291286</v>
      </c>
      <c r="F984" s="17">
        <f>E984/E983-1</f>
        <v>0</v>
      </c>
      <c r="G984" s="14">
        <v>27880378.24521141</v>
      </c>
      <c r="H984" s="17">
        <f>G984/G983-1</f>
        <v>0</v>
      </c>
      <c r="I984" s="14">
        <f>MAX(I983,B984)</f>
        <v>0</v>
      </c>
      <c r="J984" s="17">
        <f>B984/I984-1</f>
        <v>0</v>
      </c>
    </row>
    <row r="985" spans="1:10">
      <c r="A985" s="6">
        <v>45645</v>
      </c>
      <c r="B985" s="14">
        <v>44598993.96967832</v>
      </c>
      <c r="D985" s="17">
        <f>B985/B984-1</f>
        <v>0</v>
      </c>
      <c r="E985" s="14">
        <v>20384092.29393554</v>
      </c>
      <c r="F985" s="17">
        <f>E985/E984-1</f>
        <v>0</v>
      </c>
      <c r="G985" s="14">
        <v>27714092.06085506</v>
      </c>
      <c r="H985" s="17">
        <f>G985/G984-1</f>
        <v>0</v>
      </c>
      <c r="I985" s="14">
        <f>MAX(I984,B985)</f>
        <v>0</v>
      </c>
      <c r="J985" s="17">
        <f>B985/I985-1</f>
        <v>0</v>
      </c>
    </row>
    <row r="986" spans="1:10">
      <c r="A986" s="6">
        <v>45646</v>
      </c>
      <c r="B986" s="14">
        <v>43857616.73637898</v>
      </c>
      <c r="D986" s="17">
        <f>B986/B985-1</f>
        <v>0</v>
      </c>
      <c r="E986" s="14">
        <v>19997353.85668205</v>
      </c>
      <c r="F986" s="17">
        <f>E986/E985-1</f>
        <v>0</v>
      </c>
      <c r="G986" s="14">
        <v>27132239.65401691</v>
      </c>
      <c r="H986" s="17">
        <f>G986/G985-1</f>
        <v>0</v>
      </c>
      <c r="I986" s="14">
        <f>MAX(I985,B986)</f>
        <v>0</v>
      </c>
      <c r="J986" s="17">
        <f>B986/I986-1</f>
        <v>0</v>
      </c>
    </row>
    <row r="987" spans="1:10">
      <c r="A987" s="6">
        <v>45649</v>
      </c>
      <c r="B987" s="14">
        <v>43787520.76615501</v>
      </c>
      <c r="D987" s="17">
        <f>B987/B986-1</f>
        <v>0</v>
      </c>
      <c r="E987" s="14">
        <v>20081541.41151193</v>
      </c>
      <c r="F987" s="17">
        <f>E987/E986-1</f>
        <v>0</v>
      </c>
      <c r="G987" s="14">
        <v>27109086.12787803</v>
      </c>
      <c r="H987" s="17">
        <f>G987/G986-1</f>
        <v>0</v>
      </c>
      <c r="I987" s="14">
        <f>MAX(I986,B987)</f>
        <v>0</v>
      </c>
      <c r="J987" s="17">
        <f>B987/I987-1</f>
        <v>0</v>
      </c>
    </row>
    <row r="988" spans="1:10">
      <c r="A988" s="6">
        <v>45650</v>
      </c>
      <c r="B988" s="14">
        <v>44012950.86794474</v>
      </c>
      <c r="D988" s="17">
        <f>B988/B987-1</f>
        <v>0</v>
      </c>
      <c r="E988" s="14">
        <v>20073894.62401787</v>
      </c>
      <c r="F988" s="17">
        <f>E988/E987-1</f>
        <v>0</v>
      </c>
      <c r="G988" s="14">
        <v>27153936.70621808</v>
      </c>
      <c r="H988" s="17">
        <f>G988/G987-1</f>
        <v>0</v>
      </c>
      <c r="I988" s="14">
        <f>MAX(I987,B988)</f>
        <v>0</v>
      </c>
      <c r="J988" s="17">
        <f>B988/I988-1</f>
        <v>0</v>
      </c>
    </row>
    <row r="989" spans="1:10">
      <c r="A989" s="6">
        <v>45652</v>
      </c>
      <c r="B989" s="14">
        <v>44304633.49272101</v>
      </c>
      <c r="D989" s="17">
        <f>B989/B988-1</f>
        <v>0</v>
      </c>
      <c r="E989" s="14">
        <v>20099626.60196117</v>
      </c>
      <c r="F989" s="17">
        <f>E989/E988-1</f>
        <v>0</v>
      </c>
      <c r="G989" s="14">
        <v>27152718.96148521</v>
      </c>
      <c r="H989" s="17">
        <f>G989/G988-1</f>
        <v>0</v>
      </c>
      <c r="I989" s="14">
        <f>MAX(I988,B989)</f>
        <v>0</v>
      </c>
      <c r="J989" s="17">
        <f>B989/I989-1</f>
        <v>0</v>
      </c>
    </row>
    <row r="990" spans="1:10">
      <c r="A990" s="6">
        <v>45653</v>
      </c>
      <c r="B990" s="14">
        <v>44437807.32946564</v>
      </c>
      <c r="D990" s="17">
        <f>B990/B989-1</f>
        <v>0</v>
      </c>
      <c r="E990" s="14">
        <v>20113890.32318154</v>
      </c>
      <c r="F990" s="17">
        <f>E990/E989-1</f>
        <v>0</v>
      </c>
      <c r="G990" s="14">
        <v>27164521.36781746</v>
      </c>
      <c r="H990" s="17">
        <f>G990/G989-1</f>
        <v>0</v>
      </c>
      <c r="I990" s="14">
        <f>MAX(I989,B990)</f>
        <v>0</v>
      </c>
      <c r="J990" s="17">
        <f>B990/I990-1</f>
        <v>0</v>
      </c>
    </row>
    <row r="991" spans="1:10">
      <c r="A991" s="6">
        <v>45656</v>
      </c>
      <c r="B991" s="14">
        <v>44636088.27264591</v>
      </c>
      <c r="D991" s="17">
        <f>B991/B990-1</f>
        <v>0</v>
      </c>
      <c r="E991" s="14">
        <v>20035944.64105194</v>
      </c>
      <c r="F991" s="17">
        <f>E991/E990-1</f>
        <v>0</v>
      </c>
      <c r="G991" s="14">
        <v>27014634.96746428</v>
      </c>
      <c r="H991" s="17">
        <f>G991/G990-1</f>
        <v>0</v>
      </c>
      <c r="I991" s="14">
        <f>MAX(I990,B991)</f>
        <v>0</v>
      </c>
      <c r="J991" s="17">
        <f>B991/I991-1</f>
        <v>0</v>
      </c>
    </row>
    <row r="992" spans="1:10">
      <c r="A992" s="6">
        <v>45657</v>
      </c>
      <c r="B992" s="14">
        <v>44554989.50355183</v>
      </c>
      <c r="D992" s="17">
        <f>B992/B991-1</f>
        <v>0</v>
      </c>
      <c r="E992" s="14">
        <v>20053253.94812938</v>
      </c>
      <c r="F992" s="17">
        <f>E992/E991-1</f>
        <v>0</v>
      </c>
      <c r="G992" s="14">
        <v>27153220.80261857</v>
      </c>
      <c r="H992" s="17">
        <f>G992/G991-1</f>
        <v>0</v>
      </c>
      <c r="I992" s="14">
        <f>MAX(I991,B992)</f>
        <v>0</v>
      </c>
      <c r="J992" s="17">
        <f>B992/I992-1</f>
        <v>0</v>
      </c>
    </row>
    <row r="993" spans="1:10">
      <c r="A993" s="6">
        <v>45658</v>
      </c>
      <c r="B993" s="14">
        <v>44662760.75624094</v>
      </c>
      <c r="D993" s="17">
        <f>B993/B992-1</f>
        <v>0</v>
      </c>
      <c r="E993" s="14">
        <v>20053253.94812938</v>
      </c>
      <c r="F993" s="17">
        <f>E993/E992-1</f>
        <v>0</v>
      </c>
      <c r="G993" s="14">
        <v>27299309.78047197</v>
      </c>
      <c r="H993" s="17">
        <f>G993/G992-1</f>
        <v>0</v>
      </c>
      <c r="I993" s="14">
        <f>MAX(I992,B993)</f>
        <v>0</v>
      </c>
      <c r="J993" s="17">
        <f>B993/I993-1</f>
        <v>0</v>
      </c>
    </row>
    <row r="994" spans="1:10">
      <c r="A994" s="6">
        <v>45659</v>
      </c>
      <c r="B994" s="14">
        <v>45068119.67389524</v>
      </c>
      <c r="D994" s="17">
        <f>B994/B993-1</f>
        <v>0</v>
      </c>
      <c r="E994" s="14">
        <v>20452443.32796521</v>
      </c>
      <c r="F994" s="17">
        <f>E994/E993-1</f>
        <v>0</v>
      </c>
      <c r="G994" s="14">
        <v>27597145.84370424</v>
      </c>
      <c r="H994" s="17">
        <f>G994/G993-1</f>
        <v>0</v>
      </c>
      <c r="I994" s="14">
        <f>MAX(I993,B994)</f>
        <v>0</v>
      </c>
      <c r="J994" s="17">
        <f>B994/I994-1</f>
        <v>0</v>
      </c>
    </row>
    <row r="995" spans="1:10">
      <c r="A995" s="6">
        <v>45660</v>
      </c>
      <c r="B995" s="14">
        <v>44866810.59754974</v>
      </c>
      <c r="D995" s="17">
        <f>B995/B994-1</f>
        <v>0</v>
      </c>
      <c r="E995" s="14">
        <v>20353394.91852908</v>
      </c>
      <c r="F995" s="17">
        <f>E995/E994-1</f>
        <v>0</v>
      </c>
      <c r="G995" s="14">
        <v>27572153.72178466</v>
      </c>
      <c r="H995" s="17">
        <f>G995/G994-1</f>
        <v>0</v>
      </c>
      <c r="I995" s="14">
        <f>MAX(I994,B995)</f>
        <v>0</v>
      </c>
      <c r="J995" s="17">
        <f>B995/I995-1</f>
        <v>0</v>
      </c>
    </row>
    <row r="996" spans="1:10">
      <c r="A996" s="6">
        <v>45663</v>
      </c>
      <c r="B996" s="14">
        <v>43908132.44147587</v>
      </c>
      <c r="D996" s="17">
        <f>B996/B995-1</f>
        <v>0</v>
      </c>
      <c r="E996" s="14">
        <v>19921673.60797992</v>
      </c>
      <c r="F996" s="17">
        <f>E996/E995-1</f>
        <v>0</v>
      </c>
      <c r="G996" s="14">
        <v>26824604.91523233</v>
      </c>
      <c r="H996" s="17">
        <f>G996/G995-1</f>
        <v>0</v>
      </c>
      <c r="I996" s="14">
        <f>MAX(I995,B996)</f>
        <v>0</v>
      </c>
      <c r="J996" s="17">
        <f>B996/I996-1</f>
        <v>0</v>
      </c>
    </row>
    <row r="997" spans="1:10">
      <c r="A997" s="6">
        <v>45664</v>
      </c>
      <c r="B997" s="14">
        <v>44017951.28320271</v>
      </c>
      <c r="D997" s="17">
        <f>B997/B996-1</f>
        <v>0</v>
      </c>
      <c r="E997" s="14">
        <v>20026822.61168379</v>
      </c>
      <c r="F997" s="17">
        <f>E997/E996-1</f>
        <v>0</v>
      </c>
      <c r="G997" s="14">
        <v>27047581.7837267</v>
      </c>
      <c r="H997" s="17">
        <f>G997/G996-1</f>
        <v>0</v>
      </c>
      <c r="I997" s="14">
        <f>MAX(I996,B997)</f>
        <v>0</v>
      </c>
      <c r="J997" s="17">
        <f>B997/I997-1</f>
        <v>0</v>
      </c>
    </row>
    <row r="998" spans="1:10">
      <c r="A998" s="6">
        <v>45665</v>
      </c>
      <c r="B998" s="14">
        <v>43035672.9401181</v>
      </c>
      <c r="D998" s="17">
        <f>B998/B997-1</f>
        <v>0</v>
      </c>
      <c r="E998" s="14">
        <v>19929308.22468507</v>
      </c>
      <c r="F998" s="17">
        <f>E998/E997-1</f>
        <v>0</v>
      </c>
      <c r="G998" s="14">
        <v>26809409.13992291</v>
      </c>
      <c r="H998" s="17">
        <f>G998/G997-1</f>
        <v>0</v>
      </c>
      <c r="I998" s="14">
        <f>MAX(I997,B998)</f>
        <v>0</v>
      </c>
      <c r="J998" s="17">
        <f>B998/I998-1</f>
        <v>0</v>
      </c>
    </row>
    <row r="999" spans="1:10">
      <c r="A999" s="6">
        <v>45666</v>
      </c>
      <c r="B999" s="14">
        <v>42354743.8957592</v>
      </c>
      <c r="D999" s="17">
        <f>B999/B998-1</f>
        <v>0</v>
      </c>
      <c r="E999" s="14">
        <v>19764193.12314669</v>
      </c>
      <c r="F999" s="17">
        <f>E999/E998-1</f>
        <v>0</v>
      </c>
      <c r="G999" s="14">
        <v>26581884.74688905</v>
      </c>
      <c r="H999" s="17">
        <f>G999/G998-1</f>
        <v>0</v>
      </c>
      <c r="I999" s="14">
        <f>MAX(I998,B999)</f>
        <v>0</v>
      </c>
      <c r="J999" s="17">
        <f>B999/I999-1</f>
        <v>0</v>
      </c>
    </row>
    <row r="1000" spans="1:10">
      <c r="A1000" s="6">
        <v>45667</v>
      </c>
      <c r="B1000" s="14">
        <v>41765956.13888229</v>
      </c>
      <c r="D1000" s="17">
        <f>B1000/B999-1</f>
        <v>0</v>
      </c>
      <c r="E1000" s="14">
        <v>19543211.05932135</v>
      </c>
      <c r="F1000" s="17">
        <f>E1000/E999-1</f>
        <v>0</v>
      </c>
      <c r="G1000" s="14">
        <v>26051203.37196437</v>
      </c>
      <c r="H1000" s="17">
        <f>G1000/G999-1</f>
        <v>0</v>
      </c>
      <c r="I1000" s="14">
        <f>MAX(I999,B1000)</f>
        <v>0</v>
      </c>
      <c r="J1000" s="17">
        <f>B1000/I1000-1</f>
        <v>0</v>
      </c>
    </row>
    <row r="1001" spans="1:10">
      <c r="A1001" s="6">
        <v>45670</v>
      </c>
      <c r="B1001" s="14">
        <v>39990829.6658174</v>
      </c>
      <c r="D1001" s="17">
        <f>B1001/B1000-1</f>
        <v>0</v>
      </c>
      <c r="E1001" s="14">
        <v>19046080.02631842</v>
      </c>
      <c r="F1001" s="17">
        <f>E1001/E1000-1</f>
        <v>0</v>
      </c>
      <c r="G1001" s="14">
        <v>25069162.36325566</v>
      </c>
      <c r="H1001" s="17">
        <f>G1001/G1000-1</f>
        <v>0</v>
      </c>
      <c r="I1001" s="14">
        <f>MAX(I1000,B1001)</f>
        <v>0</v>
      </c>
      <c r="J1001" s="17">
        <f>B1001/I1001-1</f>
        <v>0</v>
      </c>
    </row>
    <row r="1002" spans="1:10">
      <c r="A1002" s="6">
        <v>45671</v>
      </c>
      <c r="B1002" s="14">
        <v>40672371.67939037</v>
      </c>
      <c r="D1002" s="17">
        <f>B1002/B1001-1</f>
        <v>0</v>
      </c>
      <c r="E1002" s="14">
        <v>19260011.63435242</v>
      </c>
      <c r="F1002" s="17">
        <f>E1002/E1001-1</f>
        <v>0</v>
      </c>
      <c r="G1002" s="14">
        <v>25648584.02409813</v>
      </c>
      <c r="H1002" s="17">
        <f>G1002/G1001-1</f>
        <v>0</v>
      </c>
      <c r="I1002" s="14">
        <f>MAX(I1001,B1002)</f>
        <v>0</v>
      </c>
      <c r="J1002" s="17">
        <f>B1002/I1002-1</f>
        <v>0</v>
      </c>
    </row>
    <row r="1003" spans="1:10">
      <c r="A1003" s="6">
        <v>45672</v>
      </c>
      <c r="B1003" s="14">
        <v>40777841.09199632</v>
      </c>
      <c r="D1003" s="17">
        <f>B1003/B1002-1</f>
        <v>0</v>
      </c>
      <c r="E1003" s="14">
        <v>19323824.19829678</v>
      </c>
      <c r="F1003" s="17">
        <f>E1003/E1002-1</f>
        <v>0</v>
      </c>
      <c r="G1003" s="14">
        <v>25706040.62139374</v>
      </c>
      <c r="H1003" s="17">
        <f>G1003/G1002-1</f>
        <v>0</v>
      </c>
      <c r="I1003" s="14">
        <f>MAX(I1002,B1003)</f>
        <v>0</v>
      </c>
      <c r="J1003" s="17">
        <f>B1003/I1003-1</f>
        <v>0</v>
      </c>
    </row>
    <row r="1004" spans="1:10">
      <c r="A1004" s="6">
        <v>45673</v>
      </c>
      <c r="B1004" s="14">
        <v>40917232.06464887</v>
      </c>
      <c r="D1004" s="17">
        <f>B1004/B1003-1</f>
        <v>0</v>
      </c>
      <c r="E1004" s="14">
        <v>19471213.11488937</v>
      </c>
      <c r="F1004" s="17">
        <f>E1004/E1003-1</f>
        <v>0</v>
      </c>
      <c r="G1004" s="14">
        <v>26055466.35167954</v>
      </c>
      <c r="H1004" s="17">
        <f>G1004/G1003-1</f>
        <v>0</v>
      </c>
      <c r="I1004" s="14">
        <f>MAX(I1003,B1004)</f>
        <v>0</v>
      </c>
      <c r="J1004" s="17">
        <f>B1004/I1004-1</f>
        <v>0</v>
      </c>
    </row>
    <row r="1005" spans="1:10">
      <c r="A1005" s="6">
        <v>45674</v>
      </c>
      <c r="B1005" s="14">
        <v>40772160.83150649</v>
      </c>
      <c r="D1005" s="17">
        <f>B1005/B1004-1</f>
        <v>0</v>
      </c>
      <c r="E1005" s="14">
        <v>19441383.15970375</v>
      </c>
      <c r="F1005" s="17">
        <f>E1005/E1004-1</f>
        <v>0</v>
      </c>
      <c r="G1005" s="14">
        <v>26133956.74818042</v>
      </c>
      <c r="H1005" s="17">
        <f>G1005/G1004-1</f>
        <v>0</v>
      </c>
      <c r="I1005" s="14">
        <f>MAX(I1004,B1005)</f>
        <v>0</v>
      </c>
      <c r="J1005" s="17">
        <f>B1005/I1005-1</f>
        <v>0</v>
      </c>
    </row>
    <row r="1006" spans="1:10">
      <c r="A1006" s="6">
        <v>45677</v>
      </c>
      <c r="B1006" s="14">
        <v>40874861.04229447</v>
      </c>
      <c r="D1006" s="17">
        <f>B1006/B1005-1</f>
        <v>0</v>
      </c>
      <c r="E1006" s="14">
        <v>19557763.23958839</v>
      </c>
      <c r="F1006" s="17">
        <f>E1006/E1005-1</f>
        <v>0</v>
      </c>
      <c r="G1006" s="14">
        <v>26356036.55103024</v>
      </c>
      <c r="H1006" s="17">
        <f>G1006/G1005-1</f>
        <v>0</v>
      </c>
      <c r="I1006" s="14">
        <f>MAX(I1005,B1006)</f>
        <v>0</v>
      </c>
      <c r="J1006" s="17">
        <f>B1006/I1006-1</f>
        <v>0</v>
      </c>
    </row>
    <row r="1007" spans="1:10">
      <c r="A1007" s="6">
        <v>45678</v>
      </c>
      <c r="B1007" s="14">
        <v>39619152.6400625</v>
      </c>
      <c r="D1007" s="17">
        <f>B1007/B1006-1</f>
        <v>0</v>
      </c>
      <c r="E1007" s="14">
        <v>19221685.86317707</v>
      </c>
      <c r="F1007" s="17">
        <f>E1007/E1006-1</f>
        <v>0</v>
      </c>
      <c r="G1007" s="14">
        <v>25896079.47398817</v>
      </c>
      <c r="H1007" s="17">
        <f>G1007/G1006-1</f>
        <v>0</v>
      </c>
      <c r="I1007" s="14">
        <f>MAX(I1006,B1007)</f>
        <v>0</v>
      </c>
      <c r="J1007" s="17">
        <f>B1007/I1007-1</f>
        <v>0</v>
      </c>
    </row>
    <row r="1008" spans="1:10">
      <c r="A1008" s="6">
        <v>45679</v>
      </c>
      <c r="B1008" s="14">
        <v>39470163.84208176</v>
      </c>
      <c r="D1008" s="17">
        <f>B1008/B1007-1</f>
        <v>0</v>
      </c>
      <c r="E1008" s="14">
        <v>19189734.19114977</v>
      </c>
      <c r="F1008" s="17">
        <f>E1008/E1007-1</f>
        <v>0</v>
      </c>
      <c r="G1008" s="14">
        <v>25616751.50377351</v>
      </c>
      <c r="H1008" s="17">
        <f>G1008/G1007-1</f>
        <v>0</v>
      </c>
      <c r="I1008" s="14">
        <f>MAX(I1007,B1008)</f>
        <v>0</v>
      </c>
      <c r="J1008" s="17">
        <f>B1008/I1008-1</f>
        <v>0</v>
      </c>
    </row>
    <row r="1009" spans="1:10">
      <c r="A1009" s="6">
        <v>45680</v>
      </c>
      <c r="B1009" s="14">
        <v>40211490.95558879</v>
      </c>
      <c r="D1009" s="17">
        <f>B1009/B1008-1</f>
        <v>0</v>
      </c>
      <c r="E1009" s="14">
        <v>19317553.83446801</v>
      </c>
      <c r="F1009" s="17">
        <f>E1009/E1008-1</f>
        <v>0</v>
      </c>
      <c r="G1009" s="14">
        <v>25861765.73022305</v>
      </c>
      <c r="H1009" s="17">
        <f>G1009/G1008-1</f>
        <v>0</v>
      </c>
      <c r="I1009" s="14">
        <f>MAX(I1008,B1009)</f>
        <v>0</v>
      </c>
      <c r="J1009" s="17">
        <f>B1009/I1009-1</f>
        <v>0</v>
      </c>
    </row>
    <row r="1010" spans="1:10">
      <c r="A1010" s="6">
        <v>45681</v>
      </c>
      <c r="B1010" s="14">
        <v>40011408.91705824</v>
      </c>
      <c r="D1010" s="17">
        <f>B1010/B1009-1</f>
        <v>0</v>
      </c>
      <c r="E1010" s="14">
        <v>19121916.95842664</v>
      </c>
      <c r="F1010" s="17">
        <f>E1010/E1009-1</f>
        <v>0</v>
      </c>
      <c r="G1010" s="14">
        <v>25407434.2593636</v>
      </c>
      <c r="H1010" s="17">
        <f>G1010/G1009-1</f>
        <v>0</v>
      </c>
      <c r="I1010" s="14">
        <f>MAX(I1009,B1010)</f>
        <v>0</v>
      </c>
      <c r="J1010" s="17">
        <f>B1010/I1010-1</f>
        <v>0</v>
      </c>
    </row>
    <row r="1011" spans="1:10">
      <c r="A1011" s="6">
        <v>45684</v>
      </c>
      <c r="B1011" s="14">
        <v>38979176.83911709</v>
      </c>
      <c r="D1011" s="17">
        <f>B1011/B1010-1</f>
        <v>0</v>
      </c>
      <c r="E1011" s="14">
        <v>18756917.07607685</v>
      </c>
      <c r="F1011" s="17">
        <f>E1011/E1010-1</f>
        <v>0</v>
      </c>
      <c r="G1011" s="14">
        <v>24770110.54938454</v>
      </c>
      <c r="H1011" s="17">
        <f>G1011/G1010-1</f>
        <v>0</v>
      </c>
      <c r="I1011" s="14">
        <f>MAX(I1010,B1011)</f>
        <v>0</v>
      </c>
      <c r="J1011" s="17">
        <f>B1011/I1011-1</f>
        <v>0</v>
      </c>
    </row>
    <row r="1012" spans="1:10">
      <c r="A1012" s="6">
        <v>45685</v>
      </c>
      <c r="B1012" s="14">
        <v>38234008.98321708</v>
      </c>
      <c r="D1012" s="17">
        <f>B1012/B1011-1</f>
        <v>0</v>
      </c>
      <c r="E1012" s="14">
        <v>18770189.42850361</v>
      </c>
      <c r="F1012" s="17">
        <f>E1012/E1011-1</f>
        <v>0</v>
      </c>
      <c r="G1012" s="14">
        <v>24624956.17443248</v>
      </c>
      <c r="H1012" s="17">
        <f>G1012/G1011-1</f>
        <v>0</v>
      </c>
      <c r="I1012" s="14">
        <f>MAX(I1011,B1012)</f>
        <v>0</v>
      </c>
      <c r="J1012" s="17">
        <f>B1012/I1012-1</f>
        <v>0</v>
      </c>
    </row>
    <row r="1013" spans="1:10">
      <c r="A1013" s="6">
        <v>45686</v>
      </c>
      <c r="B1013" s="14">
        <v>38964364.79661095</v>
      </c>
      <c r="D1013" s="17">
        <f>B1013/B1012-1</f>
        <v>0</v>
      </c>
      <c r="E1013" s="14">
        <v>19058806.55361983</v>
      </c>
      <c r="F1013" s="17">
        <f>E1013/E1012-1</f>
        <v>0</v>
      </c>
      <c r="G1013" s="14">
        <v>25192618.1725493</v>
      </c>
      <c r="H1013" s="17">
        <f>G1013/G1012-1</f>
        <v>0</v>
      </c>
      <c r="I1013" s="14">
        <f>MAX(I1012,B1013)</f>
        <v>0</v>
      </c>
      <c r="J1013" s="17">
        <f>B1013/I1013-1</f>
        <v>0</v>
      </c>
    </row>
    <row r="1014" spans="1:10">
      <c r="A1014" s="6">
        <v>45687</v>
      </c>
      <c r="B1014" s="14">
        <v>39024407.43267083</v>
      </c>
      <c r="D1014" s="17">
        <f>B1014/B1013-1</f>
        <v>0</v>
      </c>
      <c r="E1014" s="14">
        <v>19106362.01495828</v>
      </c>
      <c r="F1014" s="17">
        <f>E1014/E1013-1</f>
        <v>0</v>
      </c>
      <c r="G1014" s="14">
        <v>25289958.53986905</v>
      </c>
      <c r="H1014" s="17">
        <f>G1014/G1013-1</f>
        <v>0</v>
      </c>
      <c r="I1014" s="14">
        <f>MAX(I1013,B1014)</f>
        <v>0</v>
      </c>
      <c r="J1014" s="17">
        <f>B1014/I1014-1</f>
        <v>0</v>
      </c>
    </row>
    <row r="1015" spans="1:10">
      <c r="A1015" s="6">
        <v>45688</v>
      </c>
      <c r="B1015" s="14">
        <v>39486590.17547218</v>
      </c>
      <c r="D1015" s="17">
        <f>B1015/B1014-1</f>
        <v>0</v>
      </c>
      <c r="E1015" s="14">
        <v>19361515.31905213</v>
      </c>
      <c r="F1015" s="17">
        <f>E1015/E1014-1</f>
        <v>0</v>
      </c>
      <c r="G1015" s="14">
        <v>25758684.25060826</v>
      </c>
      <c r="H1015" s="17">
        <f>G1015/G1014-1</f>
        <v>0</v>
      </c>
      <c r="I1015" s="14">
        <f>MAX(I1014,B1015)</f>
        <v>0</v>
      </c>
      <c r="J1015" s="17">
        <f>B1015/I1015-1</f>
        <v>0</v>
      </c>
    </row>
    <row r="1016" spans="1:10">
      <c r="A1016" s="6">
        <v>45689</v>
      </c>
      <c r="B1016" s="14">
        <v>39555868.58758867</v>
      </c>
      <c r="D1016" s="17">
        <f>B1016/B1015-1</f>
        <v>0</v>
      </c>
      <c r="E1016" s="14">
        <v>19361515.31905213</v>
      </c>
      <c r="F1016" s="17">
        <f>E1016/E1015-1</f>
        <v>0</v>
      </c>
      <c r="G1016" s="14">
        <v>25719394.85857143</v>
      </c>
      <c r="H1016" s="17">
        <f>G1016/G1015-1</f>
        <v>0</v>
      </c>
      <c r="I1016" s="14">
        <f>MAX(I1015,B1016)</f>
        <v>0</v>
      </c>
      <c r="J1016" s="17">
        <f>B1016/I1016-1</f>
        <v>0</v>
      </c>
    </row>
    <row r="1017" spans="1:10">
      <c r="A1017" s="6">
        <v>45691</v>
      </c>
      <c r="B1017" s="14">
        <v>39392505.35597771</v>
      </c>
      <c r="D1017" s="17">
        <f>B1017/B1016-1</f>
        <v>0</v>
      </c>
      <c r="E1017" s="14">
        <v>19202429.20402236</v>
      </c>
      <c r="F1017" s="17">
        <f>E1017/E1016-1</f>
        <v>0</v>
      </c>
      <c r="G1017" s="14">
        <v>25323912.24775444</v>
      </c>
      <c r="H1017" s="17">
        <f>G1017/G1016-1</f>
        <v>0</v>
      </c>
      <c r="I1017" s="14">
        <f>MAX(I1016,B1017)</f>
        <v>0</v>
      </c>
      <c r="J1017" s="17">
        <f>B1017/I1017-1</f>
        <v>0</v>
      </c>
    </row>
    <row r="1018" spans="1:10">
      <c r="A1018" s="6">
        <v>45692</v>
      </c>
      <c r="B1018" s="14">
        <v>39883927.06539809</v>
      </c>
      <c r="D1018" s="17">
        <f>B1018/B1017-1</f>
        <v>0</v>
      </c>
      <c r="E1018" s="14">
        <v>19494843.40412192</v>
      </c>
      <c r="F1018" s="17">
        <f>E1018/E1017-1</f>
        <v>0</v>
      </c>
      <c r="G1018" s="14">
        <v>25635047.77494396</v>
      </c>
      <c r="H1018" s="17">
        <f>G1018/G1017-1</f>
        <v>0</v>
      </c>
      <c r="I1018" s="14">
        <f>MAX(I1017,B1018)</f>
        <v>0</v>
      </c>
      <c r="J1018" s="17">
        <f>B1018/I1018-1</f>
        <v>0</v>
      </c>
    </row>
    <row r="1019" spans="1:10">
      <c r="A1019" s="6">
        <v>45693</v>
      </c>
      <c r="B1019" s="14">
        <v>40218060.15394093</v>
      </c>
      <c r="D1019" s="17">
        <f>B1019/B1018-1</f>
        <v>0</v>
      </c>
      <c r="E1019" s="14">
        <v>19546735.94234335</v>
      </c>
      <c r="F1019" s="17">
        <f>E1019/E1018-1</f>
        <v>0</v>
      </c>
      <c r="G1019" s="14">
        <v>25859458.07273876</v>
      </c>
      <c r="H1019" s="17">
        <f>G1019/G1018-1</f>
        <v>0</v>
      </c>
      <c r="I1019" s="14">
        <f>MAX(I1018,B1019)</f>
        <v>0</v>
      </c>
      <c r="J1019" s="17">
        <f>B1019/I1019-1</f>
        <v>0</v>
      </c>
    </row>
    <row r="1020" spans="1:10">
      <c r="A1020" s="6">
        <v>45694</v>
      </c>
      <c r="B1020" s="14">
        <v>39886774.35589166</v>
      </c>
      <c r="D1020" s="17">
        <f>B1020/B1019-1</f>
        <v>0</v>
      </c>
      <c r="E1020" s="14">
        <v>19447349.29208956</v>
      </c>
      <c r="F1020" s="17">
        <f>E1020/E1019-1</f>
        <v>0</v>
      </c>
      <c r="G1020" s="14">
        <v>25727822.6623224</v>
      </c>
      <c r="H1020" s="17">
        <f>G1020/G1019-1</f>
        <v>0</v>
      </c>
      <c r="I1020" s="14">
        <f>MAX(I1019,B1020)</f>
        <v>0</v>
      </c>
      <c r="J1020" s="17">
        <f>B1020/I1020-1</f>
        <v>0</v>
      </c>
    </row>
    <row r="1021" spans="1:10">
      <c r="A1021" s="6">
        <v>45695</v>
      </c>
      <c r="B1021" s="14">
        <v>40280829.35744058</v>
      </c>
      <c r="D1021" s="17">
        <f>B1021/B1020-1</f>
        <v>0</v>
      </c>
      <c r="E1021" s="14">
        <v>19424676.61623807</v>
      </c>
      <c r="F1021" s="17">
        <f>E1021/E1020-1</f>
        <v>0</v>
      </c>
      <c r="G1021" s="14">
        <v>25683288.33674372</v>
      </c>
      <c r="H1021" s="17">
        <f>G1021/G1020-1</f>
        <v>0</v>
      </c>
      <c r="I1021" s="14">
        <f>MAX(I1020,B1021)</f>
        <v>0</v>
      </c>
      <c r="J1021" s="17">
        <f>B1021/I1021-1</f>
        <v>0</v>
      </c>
    </row>
    <row r="1022" spans="1:10">
      <c r="A1022" s="6">
        <v>45698</v>
      </c>
      <c r="B1022" s="14">
        <v>39695246.49974096</v>
      </c>
      <c r="D1022" s="17">
        <f>B1022/B1021-1</f>
        <v>0</v>
      </c>
      <c r="E1022" s="14">
        <v>19178958.9099278</v>
      </c>
      <c r="F1022" s="17">
        <f>E1022/E1021-1</f>
        <v>0</v>
      </c>
      <c r="G1022" s="14">
        <v>25257794.5582954</v>
      </c>
      <c r="H1022" s="17">
        <f>G1022/G1021-1</f>
        <v>0</v>
      </c>
      <c r="I1022" s="14">
        <f>MAX(I1021,B1022)</f>
        <v>0</v>
      </c>
      <c r="J1022" s="17">
        <f>B1022/I1022-1</f>
        <v>0</v>
      </c>
    </row>
    <row r="1023" spans="1:10">
      <c r="A1023" s="6">
        <v>45699</v>
      </c>
      <c r="B1023" s="14">
        <v>38762840.07650591</v>
      </c>
      <c r="D1023" s="17">
        <f>B1023/B1022-1</f>
        <v>0</v>
      </c>
      <c r="E1023" s="14">
        <v>18802193.03849577</v>
      </c>
      <c r="F1023" s="17">
        <f>E1023/E1022-1</f>
        <v>0</v>
      </c>
      <c r="G1023" s="14">
        <v>24570677.07588077</v>
      </c>
      <c r="H1023" s="17">
        <f>G1023/G1022-1</f>
        <v>0</v>
      </c>
      <c r="I1023" s="14">
        <f>MAX(I1022,B1023)</f>
        <v>0</v>
      </c>
      <c r="J1023" s="17">
        <f>B1023/I1023-1</f>
        <v>0</v>
      </c>
    </row>
    <row r="1024" spans="1:10">
      <c r="A1024" s="6">
        <v>45700</v>
      </c>
      <c r="B1024" s="14">
        <v>38609210.54746207</v>
      </c>
      <c r="D1024" s="17">
        <f>B1024/B1023-1</f>
        <v>0</v>
      </c>
      <c r="E1024" s="14">
        <v>18764856.92973031</v>
      </c>
      <c r="F1024" s="17">
        <f>E1024/E1023-1</f>
        <v>0</v>
      </c>
      <c r="G1024" s="14">
        <v>24491991.01241263</v>
      </c>
      <c r="H1024" s="17">
        <f>G1024/G1023-1</f>
        <v>0</v>
      </c>
      <c r="I1024" s="14">
        <f>MAX(I1023,B1024)</f>
        <v>0</v>
      </c>
      <c r="J1024" s="17">
        <f>B1024/I1024-1</f>
        <v>0</v>
      </c>
    </row>
    <row r="1025" spans="1:10">
      <c r="A1025" s="6">
        <v>45701</v>
      </c>
      <c r="B1025" s="14">
        <v>38889086.28911681</v>
      </c>
      <c r="D1025" s="17">
        <f>B1025/B1024-1</f>
        <v>0</v>
      </c>
      <c r="E1025" s="14">
        <v>18762609.23398299</v>
      </c>
      <c r="F1025" s="17">
        <f>E1025/E1024-1</f>
        <v>0</v>
      </c>
      <c r="G1025" s="14">
        <v>24474923.00635797</v>
      </c>
      <c r="H1025" s="17">
        <f>G1025/G1024-1</f>
        <v>0</v>
      </c>
      <c r="I1025" s="14">
        <f>MAX(I1024,B1025)</f>
        <v>0</v>
      </c>
      <c r="J1025" s="17">
        <f>B1025/I1025-1</f>
        <v>0</v>
      </c>
    </row>
    <row r="1026" spans="1:10">
      <c r="A1026" s="6">
        <v>45702</v>
      </c>
      <c r="B1026" s="14">
        <v>37849824.1818752</v>
      </c>
      <c r="D1026" s="17">
        <f>B1026/B1025-1</f>
        <v>0</v>
      </c>
      <c r="E1026" s="14">
        <v>18520043.41874344</v>
      </c>
      <c r="F1026" s="17">
        <f>E1026/E1025-1</f>
        <v>0</v>
      </c>
      <c r="G1026" s="14">
        <v>23889934.67656063</v>
      </c>
      <c r="H1026" s="17">
        <f>G1026/G1025-1</f>
        <v>0</v>
      </c>
      <c r="I1026" s="14">
        <f>MAX(I1025,B1026)</f>
        <v>0</v>
      </c>
      <c r="J1026" s="17">
        <f>B1026/I1026-1</f>
        <v>0</v>
      </c>
    </row>
    <row r="1027" spans="1:10">
      <c r="A1027" s="6">
        <v>45705</v>
      </c>
      <c r="B1027" s="14">
        <v>37768073.45904714</v>
      </c>
      <c r="D1027" s="17">
        <f>B1027/B1026-1</f>
        <v>0</v>
      </c>
      <c r="E1027" s="14">
        <v>18538203.91398474</v>
      </c>
      <c r="F1027" s="17">
        <f>E1027/E1026-1</f>
        <v>0</v>
      </c>
      <c r="G1027" s="14">
        <v>23900221.69068684</v>
      </c>
      <c r="H1027" s="17">
        <f>G1027/G1026-1</f>
        <v>0</v>
      </c>
      <c r="I1027" s="14">
        <f>MAX(I1026,B1027)</f>
        <v>0</v>
      </c>
      <c r="J1027" s="17">
        <f>B1027/I1027-1</f>
        <v>0</v>
      </c>
    </row>
    <row r="1028" spans="1:10">
      <c r="A1028" s="6">
        <v>45706</v>
      </c>
      <c r="B1028" s="14">
        <v>37979233.21835008</v>
      </c>
      <c r="D1028" s="17">
        <f>B1028/B1027-1</f>
        <v>0</v>
      </c>
      <c r="E1028" s="14">
        <v>18502329.36831307</v>
      </c>
      <c r="F1028" s="17">
        <f>E1028/E1027-1</f>
        <v>0</v>
      </c>
      <c r="G1028" s="14">
        <v>23765389.05012468</v>
      </c>
      <c r="H1028" s="17">
        <f>G1028/G1027-1</f>
        <v>0</v>
      </c>
      <c r="I1028" s="14">
        <f>MAX(I1027,B1028)</f>
        <v>0</v>
      </c>
      <c r="J1028" s="17">
        <f>B1028/I1028-1</f>
        <v>0</v>
      </c>
    </row>
    <row r="1029" spans="1:10">
      <c r="A1029" s="6">
        <v>45707</v>
      </c>
      <c r="B1029" s="14">
        <v>38207864.67377044</v>
      </c>
      <c r="D1029" s="17">
        <f>B1029/B1028-1</f>
        <v>0</v>
      </c>
      <c r="E1029" s="14">
        <v>18610975.20820371</v>
      </c>
      <c r="F1029" s="17">
        <f>E1029/E1028-1</f>
        <v>0</v>
      </c>
      <c r="G1029" s="14">
        <v>24103587.08039293</v>
      </c>
      <c r="H1029" s="17">
        <f>G1029/G1028-1</f>
        <v>0</v>
      </c>
      <c r="I1029" s="14">
        <f>MAX(I1028,B1029)</f>
        <v>0</v>
      </c>
      <c r="J1029" s="17">
        <f>B1029/I1029-1</f>
        <v>0</v>
      </c>
    </row>
    <row r="1030" spans="1:10">
      <c r="A1030" s="6">
        <v>45708</v>
      </c>
      <c r="B1030" s="14">
        <v>38275118.74417248</v>
      </c>
      <c r="D1030" s="17">
        <f>B1030/B1029-1</f>
        <v>0</v>
      </c>
      <c r="E1030" s="14">
        <v>18701319.29873204</v>
      </c>
      <c r="F1030" s="17">
        <f>E1030/E1029-1</f>
        <v>0</v>
      </c>
      <c r="G1030" s="14">
        <v>24376805.86404813</v>
      </c>
      <c r="H1030" s="17">
        <f>G1030/G1029-1</f>
        <v>0</v>
      </c>
      <c r="I1030" s="14">
        <f>MAX(I1029,B1030)</f>
        <v>0</v>
      </c>
      <c r="J1030" s="17">
        <f>B1030/I1030-1</f>
        <v>0</v>
      </c>
    </row>
    <row r="1031" spans="1:10">
      <c r="A1031" s="6">
        <v>45709</v>
      </c>
      <c r="B1031" s="14">
        <v>37965663.94627659</v>
      </c>
      <c r="D1031" s="17">
        <f>B1031/B1030-1</f>
        <v>0</v>
      </c>
      <c r="E1031" s="14">
        <v>18575760.75116813</v>
      </c>
      <c r="F1031" s="17">
        <f>E1031/E1030-1</f>
        <v>0</v>
      </c>
      <c r="G1031" s="14">
        <v>24195306.2777756</v>
      </c>
      <c r="H1031" s="17">
        <f>G1031/G1030-1</f>
        <v>0</v>
      </c>
      <c r="I1031" s="14">
        <f>MAX(I1030,B1031)</f>
        <v>0</v>
      </c>
      <c r="J1031" s="17">
        <f>B1031/I1031-1</f>
        <v>0</v>
      </c>
    </row>
    <row r="1032" spans="1:10">
      <c r="A1032" s="6">
        <v>45712</v>
      </c>
      <c r="B1032" s="14">
        <v>37447837.13861953</v>
      </c>
      <c r="D1032" s="17">
        <f>B1032/B1031-1</f>
        <v>0</v>
      </c>
      <c r="E1032" s="14">
        <v>18377511.98768571</v>
      </c>
      <c r="F1032" s="17">
        <f>E1032/E1031-1</f>
        <v>0</v>
      </c>
      <c r="G1032" s="14">
        <v>23956833.16626589</v>
      </c>
      <c r="H1032" s="17">
        <f>G1032/G1031-1</f>
        <v>0</v>
      </c>
      <c r="I1032" s="14">
        <f>MAX(I1031,B1032)</f>
        <v>0</v>
      </c>
      <c r="J1032" s="17">
        <f>B1032/I1032-1</f>
        <v>0</v>
      </c>
    </row>
    <row r="1033" spans="1:10">
      <c r="A1033" s="6">
        <v>45713</v>
      </c>
      <c r="B1033" s="14">
        <v>37391074.40910842</v>
      </c>
      <c r="D1033" s="17">
        <f>B1033/B1032-1</f>
        <v>0</v>
      </c>
      <c r="E1033" s="14">
        <v>18333764.87048518</v>
      </c>
      <c r="F1033" s="17">
        <f>E1033/E1032-1</f>
        <v>0</v>
      </c>
      <c r="G1033" s="14">
        <v>23833084.29723904</v>
      </c>
      <c r="H1033" s="17">
        <f>G1033/G1032-1</f>
        <v>0</v>
      </c>
      <c r="I1033" s="14">
        <f>MAX(I1032,B1033)</f>
        <v>0</v>
      </c>
      <c r="J1033" s="17">
        <f>B1033/I1033-1</f>
        <v>0</v>
      </c>
    </row>
    <row r="1034" spans="1:10">
      <c r="A1034" s="6">
        <v>45715</v>
      </c>
      <c r="B1034" s="14">
        <v>37307442.41733166</v>
      </c>
      <c r="D1034" s="17">
        <f>B1034/B1033-1</f>
        <v>0</v>
      </c>
      <c r="E1034" s="14">
        <v>18241976.49465755</v>
      </c>
      <c r="F1034" s="17">
        <f>E1034/E1033-1</f>
        <v>0</v>
      </c>
      <c r="G1034" s="14">
        <v>23593391.07704482</v>
      </c>
      <c r="H1034" s="17">
        <f>G1034/G1033-1</f>
        <v>0</v>
      </c>
      <c r="I1034" s="14">
        <f>MAX(I1033,B1034)</f>
        <v>0</v>
      </c>
      <c r="J1034" s="17">
        <f>B1034/I1034-1</f>
        <v>0</v>
      </c>
    </row>
    <row r="1035" spans="1:10">
      <c r="A1035" s="6">
        <v>45716</v>
      </c>
      <c r="B1035" s="14">
        <v>36290436.37885781</v>
      </c>
      <c r="D1035" s="17">
        <f>B1035/B1034-1</f>
        <v>0</v>
      </c>
      <c r="E1035" s="14">
        <v>17852558.80791498</v>
      </c>
      <c r="F1035" s="17">
        <f>E1035/E1034-1</f>
        <v>0</v>
      </c>
      <c r="G1035" s="14">
        <v>23002117.19571045</v>
      </c>
      <c r="H1035" s="17">
        <f>G1035/G1034-1</f>
        <v>0</v>
      </c>
      <c r="I1035" s="14">
        <f>MAX(I1034,B1035)</f>
        <v>0</v>
      </c>
      <c r="J1035" s="17">
        <f>B1035/I1035-1</f>
        <v>0</v>
      </c>
    </row>
    <row r="1036" spans="1:10">
      <c r="A1036" s="6">
        <v>45719</v>
      </c>
      <c r="B1036" s="14">
        <v>36262998.98596217</v>
      </c>
      <c r="D1036" s="17">
        <f>B1036/B1035-1</f>
        <v>0</v>
      </c>
      <c r="E1036" s="14">
        <v>17867820.38207501</v>
      </c>
      <c r="F1036" s="17">
        <f>E1036/E1035-1</f>
        <v>0</v>
      </c>
      <c r="G1036" s="14">
        <v>23012942.40906534</v>
      </c>
      <c r="H1036" s="17">
        <f>G1036/G1035-1</f>
        <v>0</v>
      </c>
      <c r="I1036" s="14">
        <f>MAX(I1035,B1036)</f>
        <v>0</v>
      </c>
      <c r="J1036" s="17">
        <f>B1036/I1036-1</f>
        <v>0</v>
      </c>
    </row>
    <row r="1037" spans="1:10">
      <c r="A1037" s="6">
        <v>45720</v>
      </c>
      <c r="B1037" s="14">
        <v>35944069.09596798</v>
      </c>
      <c r="D1037" s="17">
        <f>B1037/B1036-1</f>
        <v>0</v>
      </c>
      <c r="E1037" s="14">
        <v>17887440.15958418</v>
      </c>
      <c r="F1037" s="17">
        <f>E1037/E1036-1</f>
        <v>0</v>
      </c>
      <c r="G1037" s="14">
        <v>23108393.32121749</v>
      </c>
      <c r="H1037" s="17">
        <f>G1037/G1036-1</f>
        <v>0</v>
      </c>
      <c r="I1037" s="14">
        <f>MAX(I1036,B1037)</f>
        <v>0</v>
      </c>
      <c r="J1037" s="17">
        <f>B1037/I1037-1</f>
        <v>0</v>
      </c>
    </row>
    <row r="1038" spans="1:10">
      <c r="A1038" s="6">
        <v>45721</v>
      </c>
      <c r="B1038" s="14">
        <v>36655237.65058812</v>
      </c>
      <c r="D1038" s="17">
        <f>B1038/B1037-1</f>
        <v>0</v>
      </c>
      <c r="E1038" s="14">
        <v>18192420.58666127</v>
      </c>
      <c r="F1038" s="17">
        <f>E1038/E1037-1</f>
        <v>0</v>
      </c>
      <c r="G1038" s="14">
        <v>23689778.41623195</v>
      </c>
      <c r="H1038" s="17">
        <f>G1038/G1037-1</f>
        <v>0</v>
      </c>
      <c r="I1038" s="14">
        <f>MAX(I1037,B1038)</f>
        <v>0</v>
      </c>
      <c r="J1038" s="17">
        <f>B1038/I1038-1</f>
        <v>0</v>
      </c>
    </row>
    <row r="1039" spans="1:10">
      <c r="A1039" s="6">
        <v>45722</v>
      </c>
      <c r="B1039" s="14">
        <v>36848438.57426614</v>
      </c>
      <c r="D1039" s="17">
        <f>B1039/B1038-1</f>
        <v>0</v>
      </c>
      <c r="E1039" s="14">
        <v>18364464.94672696</v>
      </c>
      <c r="F1039" s="17">
        <f>E1039/E1038-1</f>
        <v>0</v>
      </c>
      <c r="G1039" s="14">
        <v>23971679.9134063</v>
      </c>
      <c r="H1039" s="17">
        <f>G1039/G1038-1</f>
        <v>0</v>
      </c>
      <c r="I1039" s="14">
        <f>MAX(I1038,B1039)</f>
        <v>0</v>
      </c>
      <c r="J1039" s="17">
        <f>B1039/I1039-1</f>
        <v>0</v>
      </c>
    </row>
    <row r="1040" spans="1:10">
      <c r="A1040" s="6">
        <v>45723</v>
      </c>
      <c r="B1040" s="14">
        <v>36602519.98538696</v>
      </c>
      <c r="D1040" s="17">
        <f>B1040/B1039-1</f>
        <v>0</v>
      </c>
      <c r="E1040" s="14">
        <v>18362017.00938901</v>
      </c>
      <c r="F1040" s="17">
        <f>E1040/E1039-1</f>
        <v>0</v>
      </c>
      <c r="G1040" s="14">
        <v>24031385.16997099</v>
      </c>
      <c r="H1040" s="17">
        <f>G1040/G1039-1</f>
        <v>0</v>
      </c>
      <c r="I1040" s="14">
        <f>MAX(I1039,B1040)</f>
        <v>0</v>
      </c>
      <c r="J1040" s="17">
        <f>B1040/I1040-1</f>
        <v>0</v>
      </c>
    </row>
    <row r="1041" spans="1:10">
      <c r="A1041" s="6">
        <v>45726</v>
      </c>
      <c r="B1041" s="14">
        <v>36132086.05926159</v>
      </c>
      <c r="D1041" s="17">
        <f>B1041/B1040-1</f>
        <v>0</v>
      </c>
      <c r="E1041" s="14">
        <v>18204001.58223711</v>
      </c>
      <c r="F1041" s="17">
        <f>E1041/E1040-1</f>
        <v>0</v>
      </c>
      <c r="G1041" s="14">
        <v>23671791.89615709</v>
      </c>
      <c r="H1041" s="17">
        <f>G1041/G1040-1</f>
        <v>0</v>
      </c>
      <c r="I1041" s="14">
        <f>MAX(I1040,B1041)</f>
        <v>0</v>
      </c>
      <c r="J1041" s="17">
        <f>B1041/I1041-1</f>
        <v>0</v>
      </c>
    </row>
    <row r="1042" spans="1:10">
      <c r="A1042" s="6">
        <v>45727</v>
      </c>
      <c r="B1042" s="14">
        <v>36690499.53664743</v>
      </c>
      <c r="D1042" s="17">
        <f>B1042/B1041-1</f>
        <v>0</v>
      </c>
      <c r="E1042" s="14">
        <v>18237204.76082114</v>
      </c>
      <c r="F1042" s="17">
        <f>E1042/E1041-1</f>
        <v>0</v>
      </c>
      <c r="G1042" s="14">
        <v>23641172.31590101</v>
      </c>
      <c r="H1042" s="17">
        <f>G1042/G1041-1</f>
        <v>0</v>
      </c>
      <c r="I1042" s="14">
        <f>MAX(I1041,B1042)</f>
        <v>0</v>
      </c>
      <c r="J1042" s="17">
        <f>B1042/I1042-1</f>
        <v>0</v>
      </c>
    </row>
    <row r="1043" spans="1:10">
      <c r="A1043" s="6">
        <v>45728</v>
      </c>
      <c r="B1043" s="14">
        <v>36582950.70245697</v>
      </c>
      <c r="D1043" s="17">
        <f>B1043/B1042-1</f>
        <v>0</v>
      </c>
      <c r="E1043" s="14">
        <v>18203803.70102544</v>
      </c>
      <c r="F1043" s="17">
        <f>E1043/E1042-1</f>
        <v>0</v>
      </c>
      <c r="G1043" s="14">
        <v>23562460.20801976</v>
      </c>
      <c r="H1043" s="17">
        <f>G1043/G1042-1</f>
        <v>0</v>
      </c>
      <c r="I1043" s="14">
        <f>MAX(I1042,B1043)</f>
        <v>0</v>
      </c>
      <c r="J1043" s="17">
        <f>B1043/I1043-1</f>
        <v>0</v>
      </c>
    </row>
    <row r="1044" spans="1:10">
      <c r="A1044" s="6">
        <v>45729</v>
      </c>
      <c r="B1044" s="14">
        <v>36283899.76519419</v>
      </c>
      <c r="D1044" s="17">
        <f>B1044/B1043-1</f>
        <v>0</v>
      </c>
      <c r="E1044" s="14">
        <v>18125350.23678493</v>
      </c>
      <c r="F1044" s="17">
        <f>E1044/E1043-1</f>
        <v>0</v>
      </c>
      <c r="G1044" s="14">
        <v>23447907.92321198</v>
      </c>
      <c r="H1044" s="17">
        <f>G1044/G1043-1</f>
        <v>0</v>
      </c>
      <c r="I1044" s="14">
        <f>MAX(I1043,B1044)</f>
        <v>0</v>
      </c>
      <c r="J1044" s="17">
        <f>B1044/I1044-1</f>
        <v>0</v>
      </c>
    </row>
    <row r="1045" spans="1:10">
      <c r="A1045" s="6">
        <v>45733</v>
      </c>
      <c r="B1045" s="14">
        <v>36607165.54183974</v>
      </c>
      <c r="D1045" s="17">
        <f>B1045/B1044-1</f>
        <v>0</v>
      </c>
      <c r="E1045" s="14">
        <v>18227054.22118578</v>
      </c>
      <c r="F1045" s="17">
        <f>E1045/E1044-1</f>
        <v>0</v>
      </c>
      <c r="G1045" s="14">
        <v>23576256.86446674</v>
      </c>
      <c r="H1045" s="17">
        <f>G1045/G1044-1</f>
        <v>0</v>
      </c>
      <c r="I1045" s="14">
        <f>MAX(I1044,B1045)</f>
        <v>0</v>
      </c>
      <c r="J1045" s="17">
        <f>B1045/I1045-1</f>
        <v>0</v>
      </c>
    </row>
    <row r="1046" spans="1:10">
      <c r="A1046" s="6">
        <v>45734</v>
      </c>
      <c r="B1046" s="14">
        <v>36607165.54183974</v>
      </c>
      <c r="D1046" s="17">
        <f>B1046/B1045-1</f>
        <v>0</v>
      </c>
      <c r="E1046" s="14">
        <v>18559341.34697631</v>
      </c>
      <c r="F1046" s="17">
        <f>E1046/E1045-1</f>
        <v>0</v>
      </c>
      <c r="G1046" s="14">
        <v>23581611.71843041</v>
      </c>
      <c r="H1046" s="17">
        <f>G1046/G1045-1</f>
        <v>0</v>
      </c>
      <c r="I1046" s="14">
        <f>MAX(I1045,B1046)</f>
        <v>0</v>
      </c>
      <c r="J1046" s="17">
        <f>B1046/I1046-1</f>
        <v>0</v>
      </c>
    </row>
    <row r="1047" spans="1:10">
      <c r="A1047" s="6">
        <v>45735</v>
      </c>
      <c r="B1047" s="14">
        <v>38028644.8685222</v>
      </c>
      <c r="D1047" s="17">
        <f>B1047/B1046-1</f>
        <v>0</v>
      </c>
      <c r="E1047" s="14">
        <v>18746473.31493005</v>
      </c>
      <c r="F1047" s="17">
        <f>E1047/E1046-1</f>
        <v>0</v>
      </c>
      <c r="G1047" s="14">
        <v>24542461.43804871</v>
      </c>
      <c r="H1047" s="17">
        <f>G1047/G1046-1</f>
        <v>0</v>
      </c>
      <c r="I1047" s="14">
        <f>MAX(I1046,B1047)</f>
        <v>0</v>
      </c>
      <c r="J1047" s="17">
        <f>B1047/I1047-1</f>
        <v>0</v>
      </c>
    </row>
    <row r="1048" spans="1:10">
      <c r="A1048" s="6">
        <v>45736</v>
      </c>
      <c r="B1048" s="14">
        <v>38632833.01758078</v>
      </c>
      <c r="D1048" s="17">
        <f>B1048/B1047-1</f>
        <v>0</v>
      </c>
      <c r="E1048" s="14">
        <v>18932050.6232525</v>
      </c>
      <c r="F1048" s="17">
        <f>E1048/E1047-1</f>
        <v>0</v>
      </c>
      <c r="G1048" s="14">
        <v>24703958.33941662</v>
      </c>
      <c r="H1048" s="17">
        <f>G1048/G1047-1</f>
        <v>0</v>
      </c>
      <c r="I1048" s="14">
        <f>MAX(I1047,B1048)</f>
        <v>0</v>
      </c>
      <c r="J1048" s="17">
        <f>B1048/I1048-1</f>
        <v>0</v>
      </c>
    </row>
    <row r="1049" spans="1:10">
      <c r="A1049" s="6">
        <v>45737</v>
      </c>
      <c r="B1049" s="14">
        <v>38960895.55741675</v>
      </c>
      <c r="D1049" s="17">
        <f>B1049/B1048-1</f>
        <v>0</v>
      </c>
      <c r="E1049" s="14">
        <v>19116116.92511962</v>
      </c>
      <c r="F1049" s="17">
        <f>E1049/E1048-1</f>
        <v>0</v>
      </c>
      <c r="G1049" s="14">
        <v>25094158.40896579</v>
      </c>
      <c r="H1049" s="17">
        <f>G1049/G1048-1</f>
        <v>0</v>
      </c>
      <c r="I1049" s="14">
        <f>MAX(I1048,B1049)</f>
        <v>0</v>
      </c>
      <c r="J1049" s="17">
        <f>B1049/I1049-1</f>
        <v>0</v>
      </c>
    </row>
    <row r="1050" spans="1:10">
      <c r="A1050" s="6">
        <v>45740</v>
      </c>
      <c r="B1050" s="14">
        <v>39513603.67594463</v>
      </c>
      <c r="D1050" s="17">
        <f>B1050/B1049-1</f>
        <v>0</v>
      </c>
      <c r="E1050" s="14">
        <v>19354429.05924277</v>
      </c>
      <c r="F1050" s="17">
        <f>E1050/E1049-1</f>
        <v>0</v>
      </c>
      <c r="G1050" s="14">
        <v>25396035.69048973</v>
      </c>
      <c r="H1050" s="17">
        <f>G1050/G1049-1</f>
        <v>0</v>
      </c>
      <c r="I1050" s="14">
        <f>MAX(I1049,B1050)</f>
        <v>0</v>
      </c>
      <c r="J1050" s="17">
        <f>B1050/I1050-1</f>
        <v>0</v>
      </c>
    </row>
    <row r="1051" spans="1:10">
      <c r="A1051" s="6">
        <v>45741</v>
      </c>
      <c r="B1051" s="14">
        <v>38974918.37486709</v>
      </c>
      <c r="D1051" s="17">
        <f>B1051/B1050-1</f>
        <v>0</v>
      </c>
      <c r="E1051" s="14">
        <v>19265175.17576497</v>
      </c>
      <c r="F1051" s="17">
        <f>E1051/E1050-1</f>
        <v>0</v>
      </c>
      <c r="G1051" s="14">
        <v>25114515.69555473</v>
      </c>
      <c r="H1051" s="17">
        <f>G1051/G1050-1</f>
        <v>0</v>
      </c>
      <c r="I1051" s="14">
        <f>MAX(I1050,B1051)</f>
        <v>0</v>
      </c>
      <c r="J1051" s="17">
        <f>B1051/I1051-1</f>
        <v>0</v>
      </c>
    </row>
    <row r="1052" spans="1:10">
      <c r="A1052" s="6">
        <v>45742</v>
      </c>
      <c r="B1052" s="14">
        <v>38649512.15758894</v>
      </c>
      <c r="D1052" s="17">
        <f>B1052/B1051-1</f>
        <v>0</v>
      </c>
      <c r="E1052" s="14">
        <v>19120239.89946007</v>
      </c>
      <c r="F1052" s="17">
        <f>E1052/E1051-1</f>
        <v>0</v>
      </c>
      <c r="G1052" s="14">
        <v>24903040.06376955</v>
      </c>
      <c r="H1052" s="17">
        <f>G1052/G1051-1</f>
        <v>0</v>
      </c>
      <c r="I1052" s="14">
        <f>MAX(I1051,B1052)</f>
        <v>0</v>
      </c>
      <c r="J1052" s="17">
        <f>B1052/I1052-1</f>
        <v>0</v>
      </c>
    </row>
    <row r="1053" spans="1:10">
      <c r="A1053" s="6">
        <v>45743</v>
      </c>
      <c r="B1053" s="14">
        <v>38707882.75579804</v>
      </c>
      <c r="D1053" s="17">
        <f>B1053/B1052-1</f>
        <v>0</v>
      </c>
      <c r="E1053" s="14">
        <v>19240228.09775532</v>
      </c>
      <c r="F1053" s="17">
        <f>E1053/E1052-1</f>
        <v>0</v>
      </c>
      <c r="G1053" s="14">
        <v>25080318.72288207</v>
      </c>
      <c r="H1053" s="17">
        <f>G1053/G1052-1</f>
        <v>0</v>
      </c>
      <c r="I1053" s="14">
        <f>MAX(I1052,B1053)</f>
        <v>0</v>
      </c>
      <c r="J1053" s="17">
        <f>B1053/I1053-1</f>
        <v>0</v>
      </c>
    </row>
    <row r="1054" spans="1:10">
      <c r="A1054" s="6">
        <v>45744</v>
      </c>
      <c r="B1054" s="14">
        <v>38520743.70233815</v>
      </c>
      <c r="D1054" s="17">
        <f>B1054/B1053-1</f>
        <v>0</v>
      </c>
      <c r="E1054" s="14">
        <v>19179671.73459949</v>
      </c>
      <c r="F1054" s="17">
        <f>E1054/E1053-1</f>
        <v>0</v>
      </c>
      <c r="G1054" s="14">
        <v>24964694.11258184</v>
      </c>
      <c r="H1054" s="17">
        <f>G1054/G1053-1</f>
        <v>0</v>
      </c>
      <c r="I1054" s="14">
        <f>MAX(I1053,B1054)</f>
        <v>0</v>
      </c>
      <c r="J1054" s="17">
        <f>B1054/I1054-1</f>
        <v>0</v>
      </c>
    </row>
    <row r="1055" spans="1:10">
      <c r="A1055" s="6">
        <v>45748</v>
      </c>
      <c r="B1055" s="14">
        <v>37917292.00545166</v>
      </c>
      <c r="D1055" s="17">
        <f>B1055/B1054-1</f>
        <v>0</v>
      </c>
      <c r="E1055" s="14">
        <v>18938990.8969589</v>
      </c>
      <c r="F1055" s="17">
        <f>E1055/E1054-1</f>
        <v>0</v>
      </c>
      <c r="G1055" s="14">
        <v>24766383.94183013</v>
      </c>
      <c r="H1055" s="17">
        <f>G1055/G1054-1</f>
        <v>0</v>
      </c>
      <c r="I1055" s="14">
        <f>MAX(I1054,B1055)</f>
        <v>0</v>
      </c>
      <c r="J1055" s="17">
        <f>B1055/I1055-1</f>
        <v>0</v>
      </c>
    </row>
    <row r="1056" spans="1:10">
      <c r="A1056" s="6">
        <v>45749</v>
      </c>
      <c r="B1056" s="14">
        <v>38121502.43814252</v>
      </c>
      <c r="D1056" s="17">
        <f>B1056/B1055-1</f>
        <v>0</v>
      </c>
      <c r="E1056" s="14">
        <v>19115074.78201851</v>
      </c>
      <c r="F1056" s="17">
        <f>E1056/E1055-1</f>
        <v>0</v>
      </c>
      <c r="G1056" s="14">
        <v>25016041.90424098</v>
      </c>
      <c r="H1056" s="17">
        <f>G1056/G1055-1</f>
        <v>0</v>
      </c>
      <c r="I1056" s="14">
        <f>MAX(I1055,B1056)</f>
        <v>0</v>
      </c>
      <c r="J1056" s="17">
        <f>B1056/I1056-1</f>
        <v>0</v>
      </c>
    </row>
    <row r="1057" spans="1:10">
      <c r="A1057" s="6">
        <v>45750</v>
      </c>
      <c r="B1057" s="14">
        <v>38326398.01708729</v>
      </c>
      <c r="D1057" s="17">
        <f>B1057/B1056-1</f>
        <v>0</v>
      </c>
      <c r="E1057" s="14">
        <v>19095985.14565143</v>
      </c>
      <c r="F1057" s="17">
        <f>E1057/E1056-1</f>
        <v>0</v>
      </c>
      <c r="G1057" s="14">
        <v>25101201.51392711</v>
      </c>
      <c r="H1057" s="17">
        <f>G1057/G1056-1</f>
        <v>0</v>
      </c>
      <c r="I1057" s="14">
        <f>MAX(I1056,B1057)</f>
        <v>0</v>
      </c>
      <c r="J1057" s="17">
        <f>B1057/I1057-1</f>
        <v>0</v>
      </c>
    </row>
    <row r="1058" spans="1:10">
      <c r="A1058" s="6">
        <v>45751</v>
      </c>
      <c r="B1058" s="14">
        <v>37600884.59476991</v>
      </c>
      <c r="D1058" s="17">
        <f>B1058/B1057-1</f>
        <v>0</v>
      </c>
      <c r="E1058" s="14">
        <v>18703124.59878663</v>
      </c>
      <c r="F1058" s="17">
        <f>E1058/E1057-1</f>
        <v>0</v>
      </c>
      <c r="G1058" s="14">
        <v>24381930.16835548</v>
      </c>
      <c r="H1058" s="17">
        <f>G1058/G1057-1</f>
        <v>0</v>
      </c>
      <c r="I1058" s="14">
        <f>MAX(I1057,B1058)</f>
        <v>0</v>
      </c>
      <c r="J1058" s="17">
        <f>B1058/I1058-1</f>
        <v>0</v>
      </c>
    </row>
    <row r="1059" spans="1:10">
      <c r="A1059" s="6">
        <v>45754</v>
      </c>
      <c r="B1059" s="14">
        <v>36331445.52898962</v>
      </c>
      <c r="D1059" s="17">
        <f>B1059/B1058-1</f>
        <v>0</v>
      </c>
      <c r="E1059" s="14">
        <v>18075059.27363282</v>
      </c>
      <c r="F1059" s="17">
        <f>E1059/E1058-1</f>
        <v>0</v>
      </c>
      <c r="G1059" s="14">
        <v>23493863.13419013</v>
      </c>
      <c r="H1059" s="17">
        <f>G1059/G1058-1</f>
        <v>0</v>
      </c>
      <c r="I1059" s="14">
        <f>MAX(I1058,B1059)</f>
        <v>0</v>
      </c>
      <c r="J1059" s="17">
        <f>B1059/I1059-1</f>
        <v>0</v>
      </c>
    </row>
    <row r="1060" spans="1:10">
      <c r="A1060" s="6">
        <v>45755</v>
      </c>
      <c r="B1060" s="14">
        <v>37098765.8847155</v>
      </c>
      <c r="D1060" s="17">
        <f>B1060/B1059-1</f>
        <v>0</v>
      </c>
      <c r="E1060" s="14">
        <v>18413136.96101671</v>
      </c>
      <c r="F1060" s="17">
        <f>E1060/E1059-1</f>
        <v>0</v>
      </c>
      <c r="G1060" s="14">
        <v>23991583.34422171</v>
      </c>
      <c r="H1060" s="17">
        <f>G1060/G1059-1</f>
        <v>0</v>
      </c>
      <c r="I1060" s="14">
        <f>MAX(I1059,B1060)</f>
        <v>0</v>
      </c>
      <c r="J1060" s="17">
        <f>B1060/I1060-1</f>
        <v>0</v>
      </c>
    </row>
    <row r="1061" spans="1:10">
      <c r="A1061" s="6">
        <v>45756</v>
      </c>
      <c r="B1061" s="14">
        <v>36870143.84373654</v>
      </c>
      <c r="D1061" s="17">
        <f>B1061/B1060-1</f>
        <v>0</v>
      </c>
      <c r="E1061" s="14">
        <v>18302486.69129693</v>
      </c>
      <c r="F1061" s="17">
        <f>E1061/E1060-1</f>
        <v>0</v>
      </c>
      <c r="G1061" s="14">
        <v>23816509.8701978</v>
      </c>
      <c r="H1061" s="17">
        <f>G1061/G1060-1</f>
        <v>0</v>
      </c>
      <c r="I1061" s="14">
        <f>MAX(I1060,B1061)</f>
        <v>0</v>
      </c>
      <c r="J1061" s="17">
        <f>B1061/I1061-1</f>
        <v>0</v>
      </c>
    </row>
    <row r="1062" spans="1:10">
      <c r="A1062" s="6">
        <v>45758</v>
      </c>
      <c r="B1062" s="14">
        <v>37599739.88010078</v>
      </c>
      <c r="D1062" s="17">
        <f>B1062/B1061-1</f>
        <v>0</v>
      </c>
      <c r="E1062" s="14">
        <v>18659486.19726458</v>
      </c>
      <c r="F1062" s="17">
        <f>E1062/E1061-1</f>
        <v>0</v>
      </c>
      <c r="G1062" s="14">
        <v>24339274.08249141</v>
      </c>
      <c r="H1062" s="17">
        <f>G1062/G1061-1</f>
        <v>0</v>
      </c>
      <c r="I1062" s="14">
        <f>MAX(I1061,B1062)</f>
        <v>0</v>
      </c>
      <c r="J1062" s="17">
        <f>B1062/I1062-1</f>
        <v>0</v>
      </c>
    </row>
    <row r="1063" spans="1:10">
      <c r="A1063" s="6">
        <v>45762</v>
      </c>
      <c r="B1063" s="14">
        <v>38794476.22909019</v>
      </c>
      <c r="D1063" s="17">
        <f>B1063/B1062-1</f>
        <v>0</v>
      </c>
      <c r="E1063" s="14">
        <v>19133811.75262903</v>
      </c>
      <c r="F1063" s="17">
        <f>E1063/E1062-1</f>
        <v>0</v>
      </c>
      <c r="G1063" s="14">
        <v>25065349.16032327</v>
      </c>
      <c r="H1063" s="17">
        <f>G1063/G1062-1</f>
        <v>0</v>
      </c>
      <c r="I1063" s="14">
        <f>MAX(I1062,B1063)</f>
        <v>0</v>
      </c>
      <c r="J1063" s="17">
        <f>B1063/I1063-1</f>
        <v>0</v>
      </c>
    </row>
    <row r="1064" spans="1:10">
      <c r="A1064" s="6">
        <v>45763</v>
      </c>
      <c r="B1064" s="14">
        <v>38742384.01996539</v>
      </c>
      <c r="D1064" s="17">
        <f>B1064/B1063-1</f>
        <v>0</v>
      </c>
      <c r="E1064" s="14">
        <v>19247073.55366083</v>
      </c>
      <c r="F1064" s="17">
        <f>E1064/E1063-1</f>
        <v>0</v>
      </c>
      <c r="G1064" s="14">
        <v>25280405.05712951</v>
      </c>
      <c r="H1064" s="17">
        <f>G1064/G1063-1</f>
        <v>0</v>
      </c>
      <c r="I1064" s="14">
        <f>MAX(I1063,B1064)</f>
        <v>0</v>
      </c>
      <c r="J1064" s="17">
        <f>B1064/I1064-1</f>
        <v>0</v>
      </c>
    </row>
    <row r="1065" spans="1:10">
      <c r="A1065" s="6">
        <v>45764</v>
      </c>
      <c r="B1065" s="14">
        <v>39151373.4597973</v>
      </c>
      <c r="D1065" s="17">
        <f>B1065/B1064-1</f>
        <v>0</v>
      </c>
      <c r="E1065" s="14">
        <v>19497253.03180335</v>
      </c>
      <c r="F1065" s="17">
        <f>E1065/E1064-1</f>
        <v>0</v>
      </c>
      <c r="G1065" s="14">
        <v>25445044.84126363</v>
      </c>
      <c r="H1065" s="17">
        <f>G1065/G1064-1</f>
        <v>0</v>
      </c>
      <c r="I1065" s="14">
        <f>MAX(I1064,B1065)</f>
        <v>0</v>
      </c>
      <c r="J1065" s="17">
        <f>B1065/I1065-1</f>
        <v>0</v>
      </c>
    </row>
    <row r="1066" spans="1:10">
      <c r="A1066" s="6">
        <v>45768</v>
      </c>
      <c r="B1066" s="14">
        <v>39900768.37021998</v>
      </c>
      <c r="D1066" s="17">
        <f>B1066/B1065-1</f>
        <v>0</v>
      </c>
      <c r="E1066" s="14">
        <v>19789719.39166482</v>
      </c>
      <c r="F1066" s="17">
        <f>E1066/E1065-1</f>
        <v>0</v>
      </c>
      <c r="G1066" s="14">
        <v>25904456.90299882</v>
      </c>
      <c r="H1066" s="17">
        <f>G1066/G1065-1</f>
        <v>0</v>
      </c>
      <c r="I1066" s="14">
        <f>MAX(I1065,B1066)</f>
        <v>0</v>
      </c>
      <c r="J1066" s="17">
        <f>B1066/I1066-1</f>
        <v>0</v>
      </c>
    </row>
    <row r="1067" spans="1:10">
      <c r="A1067" s="6">
        <v>45769</v>
      </c>
      <c r="B1067" s="14">
        <v>40090842.10538071</v>
      </c>
      <c r="D1067" s="17">
        <f>B1067/B1066-1</f>
        <v>0</v>
      </c>
      <c r="E1067" s="14">
        <v>19862066.34442274</v>
      </c>
      <c r="F1067" s="17">
        <f>E1067/E1066-1</f>
        <v>0</v>
      </c>
      <c r="G1067" s="14">
        <v>26057708.57348622</v>
      </c>
      <c r="H1067" s="17">
        <f>G1067/G1066-1</f>
        <v>0</v>
      </c>
      <c r="I1067" s="14">
        <f>MAX(I1066,B1067)</f>
        <v>0</v>
      </c>
      <c r="J1067" s="17">
        <f>B1067/I1067-1</f>
        <v>0</v>
      </c>
    </row>
    <row r="1068" spans="1:10">
      <c r="A1068" s="6">
        <v>45770</v>
      </c>
      <c r="B1068" s="14">
        <v>40096155.7176608</v>
      </c>
      <c r="D1068" s="17">
        <f>B1068/B1067-1</f>
        <v>0</v>
      </c>
      <c r="E1068" s="14">
        <v>20000115.88714214</v>
      </c>
      <c r="F1068" s="17">
        <f>E1068/E1067-1</f>
        <v>0</v>
      </c>
      <c r="G1068" s="14">
        <v>26233096.0956072</v>
      </c>
      <c r="H1068" s="17">
        <f>G1068/G1067-1</f>
        <v>0</v>
      </c>
      <c r="I1068" s="14">
        <f>MAX(I1067,B1068)</f>
        <v>0</v>
      </c>
      <c r="J1068" s="17">
        <f>B1068/I1068-1</f>
        <v>0</v>
      </c>
    </row>
    <row r="1069" spans="1:10">
      <c r="A1069" s="6">
        <v>45771</v>
      </c>
      <c r="B1069" s="14">
        <v>39936411.56702174</v>
      </c>
      <c r="D1069" s="17">
        <f>B1069/B1068-1</f>
        <v>0</v>
      </c>
      <c r="E1069" s="14">
        <v>19949849.12250449</v>
      </c>
      <c r="F1069" s="17">
        <f>E1069/E1068-1</f>
        <v>0</v>
      </c>
      <c r="G1069" s="14">
        <v>26222533.76414683</v>
      </c>
      <c r="H1069" s="17">
        <f>G1069/G1068-1</f>
        <v>0</v>
      </c>
      <c r="I1069" s="14">
        <f>MAX(I1068,B1069)</f>
        <v>0</v>
      </c>
      <c r="J1069" s="17">
        <f>B1069/I1069-1</f>
        <v>0</v>
      </c>
    </row>
    <row r="1070" spans="1:10">
      <c r="A1070" s="6">
        <v>45772</v>
      </c>
      <c r="B1070" s="14">
        <v>39300227.61214697</v>
      </c>
      <c r="D1070" s="17">
        <f>B1070/B1069-1</f>
        <v>0</v>
      </c>
      <c r="E1070" s="14">
        <v>19651740.03831296</v>
      </c>
      <c r="F1070" s="17">
        <f>E1070/E1069-1</f>
        <v>0</v>
      </c>
      <c r="G1070" s="14">
        <v>25628478.73511959</v>
      </c>
      <c r="H1070" s="17">
        <f>G1070/G1069-1</f>
        <v>0</v>
      </c>
      <c r="I1070" s="14">
        <f>MAX(I1069,B1070)</f>
        <v>0</v>
      </c>
      <c r="J1070" s="17">
        <f>B1070/I1070-1</f>
        <v>0</v>
      </c>
    </row>
    <row r="1071" spans="1:10">
      <c r="A1071" s="6">
        <v>45775</v>
      </c>
      <c r="B1071" s="14">
        <v>39707082.89331181</v>
      </c>
      <c r="D1071" s="17">
        <f>B1071/B1070-1</f>
        <v>0</v>
      </c>
      <c r="E1071" s="14">
        <v>19880870.48835317</v>
      </c>
      <c r="F1071" s="17">
        <f>E1071/E1070-1</f>
        <v>0</v>
      </c>
      <c r="G1071" s="14">
        <v>25878808.72435239</v>
      </c>
      <c r="H1071" s="17">
        <f>G1071/G1070-1</f>
        <v>0</v>
      </c>
      <c r="I1071" s="14">
        <f>MAX(I1070,B1071)</f>
        <v>0</v>
      </c>
      <c r="J1071" s="17">
        <f>B1071/I1071-1</f>
        <v>0</v>
      </c>
    </row>
    <row r="1072" spans="1:10">
      <c r="A1072" s="6">
        <v>45776</v>
      </c>
      <c r="B1072" s="14">
        <v>39651557.43046425</v>
      </c>
      <c r="D1072" s="17">
        <f>B1072/B1071-1</f>
        <v>0</v>
      </c>
      <c r="E1072" s="14">
        <v>19891307.74677806</v>
      </c>
      <c r="F1072" s="17">
        <f>E1072/E1071-1</f>
        <v>0</v>
      </c>
      <c r="G1072" s="14">
        <v>25912337.3030434</v>
      </c>
      <c r="H1072" s="17">
        <f>G1072/G1071-1</f>
        <v>0</v>
      </c>
      <c r="I1072" s="14">
        <f>MAX(I1071,B1072)</f>
        <v>0</v>
      </c>
      <c r="J1072" s="17">
        <f>B1072/I1072-1</f>
        <v>0</v>
      </c>
    </row>
    <row r="1073" spans="1:10">
      <c r="A1073" s="6">
        <v>45777</v>
      </c>
      <c r="B1073" s="14">
        <v>39732317.4730556</v>
      </c>
      <c r="D1073" s="17">
        <f>B1073/B1072-1</f>
        <v>0</v>
      </c>
      <c r="E1073" s="14">
        <v>19818176.9959218</v>
      </c>
      <c r="F1073" s="17">
        <f>E1073/E1072-1</f>
        <v>0</v>
      </c>
      <c r="G1073" s="14">
        <v>25672087.60780125</v>
      </c>
      <c r="H1073" s="17">
        <f>G1073/G1072-1</f>
        <v>0</v>
      </c>
      <c r="I1073" s="14">
        <f>MAX(I1072,B1073)</f>
        <v>0</v>
      </c>
      <c r="J1073" s="17">
        <f>B1073/I1073-1</f>
        <v>0</v>
      </c>
    </row>
    <row r="1074" spans="1:10">
      <c r="A1074" s="6">
        <v>45779</v>
      </c>
      <c r="B1074" s="14">
        <v>39662107.20800807</v>
      </c>
      <c r="D1074" s="17">
        <f>B1074/B1073-1</f>
        <v>0</v>
      </c>
      <c r="E1074" s="14">
        <v>19797484.69770995</v>
      </c>
      <c r="F1074" s="17">
        <f>E1074/E1073-1</f>
        <v>0</v>
      </c>
      <c r="G1074" s="14">
        <v>25543596.14200624</v>
      </c>
      <c r="H1074" s="17">
        <f>G1074/G1073-1</f>
        <v>0</v>
      </c>
      <c r="I1074" s="14">
        <f>MAX(I1073,B1074)</f>
        <v>0</v>
      </c>
      <c r="J1074" s="17">
        <f>B1074/I1074-1</f>
        <v>0</v>
      </c>
    </row>
    <row r="1075" spans="1:10">
      <c r="A1075" s="6">
        <v>45782</v>
      </c>
      <c r="B1075" s="14">
        <v>39849370.9838818</v>
      </c>
      <c r="D1075" s="17">
        <f>B1075/B1074-1</f>
        <v>0</v>
      </c>
      <c r="E1075" s="14">
        <v>19968594.75144314</v>
      </c>
      <c r="F1075" s="17">
        <f>E1075/E1074-1</f>
        <v>0</v>
      </c>
      <c r="G1075" s="14">
        <v>25911013.93178475</v>
      </c>
      <c r="H1075" s="17">
        <f>G1075/G1074-1</f>
        <v>0</v>
      </c>
      <c r="I1075" s="14">
        <f>MAX(I1074,B1075)</f>
        <v>0</v>
      </c>
      <c r="J1075" s="17">
        <f>B1075/I1075-1</f>
        <v>0</v>
      </c>
    </row>
    <row r="1076" spans="1:10">
      <c r="A1076" s="6">
        <v>45783</v>
      </c>
      <c r="B1076" s="14">
        <v>40131727.89829825</v>
      </c>
      <c r="D1076" s="17">
        <f>B1076/B1075-1</f>
        <v>0</v>
      </c>
      <c r="E1076" s="14">
        <v>19754925.60529765</v>
      </c>
      <c r="F1076" s="17">
        <f>E1076/E1075-1</f>
        <v>0</v>
      </c>
      <c r="G1076" s="14">
        <v>25405711.95723054</v>
      </c>
      <c r="H1076" s="17">
        <f>G1076/G1075-1</f>
        <v>0</v>
      </c>
      <c r="I1076" s="14">
        <f>MAX(I1075,B1076)</f>
        <v>0</v>
      </c>
      <c r="J1076" s="17">
        <f>B1076/I1076-1</f>
        <v>0</v>
      </c>
    </row>
    <row r="1077" spans="1:10">
      <c r="A1077" s="6">
        <v>45784</v>
      </c>
      <c r="B1077" s="14">
        <v>40329605.75323216</v>
      </c>
      <c r="D1077" s="17">
        <f>B1077/B1076-1</f>
        <v>0</v>
      </c>
      <c r="E1077" s="14">
        <v>19860099.23258165</v>
      </c>
      <c r="F1077" s="17">
        <f>E1077/E1076-1</f>
        <v>0</v>
      </c>
      <c r="G1077" s="14">
        <v>25648836.46681107</v>
      </c>
      <c r="H1077" s="17">
        <f>G1077/G1076-1</f>
        <v>0</v>
      </c>
      <c r="I1077" s="14">
        <f>MAX(I1076,B1077)</f>
        <v>0</v>
      </c>
      <c r="J1077" s="17">
        <f>B1077/I1077-1</f>
        <v>0</v>
      </c>
    </row>
    <row r="1078" spans="1:10">
      <c r="A1078" s="6">
        <v>45785</v>
      </c>
      <c r="B1078" s="14">
        <v>39388738.46063416</v>
      </c>
      <c r="D1078" s="17">
        <f>B1078/B1077-1</f>
        <v>0</v>
      </c>
      <c r="E1078" s="14">
        <v>19654639.41465399</v>
      </c>
      <c r="F1078" s="17">
        <f>E1078/E1077-1</f>
        <v>0</v>
      </c>
      <c r="G1078" s="14">
        <v>25294051.85571214</v>
      </c>
      <c r="H1078" s="17">
        <f>G1078/G1077-1</f>
        <v>0</v>
      </c>
      <c r="I1078" s="14">
        <f>MAX(I1077,B1078)</f>
        <v>0</v>
      </c>
      <c r="J1078" s="17">
        <f>B1078/I1078-1</f>
        <v>0</v>
      </c>
    </row>
    <row r="1079" spans="1:10">
      <c r="A1079" s="6">
        <v>45786</v>
      </c>
      <c r="B1079" s="14">
        <v>39311214.05400389</v>
      </c>
      <c r="D1079" s="17">
        <f>B1079/B1078-1</f>
        <v>0</v>
      </c>
      <c r="E1079" s="14">
        <v>19504856.83829162</v>
      </c>
      <c r="F1079" s="17">
        <f>E1079/E1078-1</f>
        <v>0</v>
      </c>
      <c r="G1079" s="14">
        <v>25174824.34287119</v>
      </c>
      <c r="H1079" s="17">
        <f>G1079/G1078-1</f>
        <v>0</v>
      </c>
      <c r="I1079" s="14">
        <f>MAX(I1078,B1079)</f>
        <v>0</v>
      </c>
      <c r="J1079" s="17">
        <f>B1079/I1079-1</f>
        <v>0</v>
      </c>
    </row>
    <row r="1080" spans="1:10">
      <c r="A1080" s="6">
        <v>45789</v>
      </c>
      <c r="B1080" s="14">
        <v>40294543.50759757</v>
      </c>
      <c r="D1080" s="17">
        <f>B1080/B1079-1</f>
        <v>0</v>
      </c>
      <c r="E1080" s="14">
        <v>20257929.24896152</v>
      </c>
      <c r="F1080" s="17">
        <f>E1080/E1079-1</f>
        <v>0</v>
      </c>
      <c r="G1080" s="14">
        <v>26157756.42748659</v>
      </c>
      <c r="H1080" s="17">
        <f>G1080/G1079-1</f>
        <v>0</v>
      </c>
      <c r="I1080" s="14">
        <f>MAX(I1079,B1080)</f>
        <v>0</v>
      </c>
      <c r="J1080" s="17">
        <f>B1080/I1080-1</f>
        <v>0</v>
      </c>
    </row>
    <row r="1081" spans="1:10">
      <c r="A1081" s="6">
        <v>45790</v>
      </c>
      <c r="B1081" s="14">
        <v>39892795.10912815</v>
      </c>
      <c r="D1081" s="17">
        <f>B1081/B1080-1</f>
        <v>0</v>
      </c>
      <c r="E1081" s="14">
        <v>20113110.68769797</v>
      </c>
      <c r="F1081" s="17">
        <f>E1081/E1080-1</f>
        <v>0</v>
      </c>
      <c r="G1081" s="14">
        <v>26178643.43153009</v>
      </c>
      <c r="H1081" s="17">
        <f>G1081/G1080-1</f>
        <v>0</v>
      </c>
      <c r="I1081" s="14">
        <f>MAX(I1080,B1081)</f>
        <v>0</v>
      </c>
      <c r="J1081" s="17">
        <f>B1081/I1081-1</f>
        <v>0</v>
      </c>
    </row>
    <row r="1082" spans="1:10">
      <c r="A1082" s="6">
        <v>45791</v>
      </c>
      <c r="B1082" s="14">
        <v>40218856.5063502</v>
      </c>
      <c r="D1082" s="17">
        <f>B1082/B1081-1</f>
        <v>0</v>
      </c>
      <c r="E1082" s="14">
        <v>20249149.03890598</v>
      </c>
      <c r="F1082" s="17">
        <f>E1082/E1081-1</f>
        <v>0</v>
      </c>
      <c r="G1082" s="14">
        <v>26483367.13488748</v>
      </c>
      <c r="H1082" s="17">
        <f>G1082/G1081-1</f>
        <v>0</v>
      </c>
      <c r="I1082" s="14">
        <f>MAX(I1081,B1082)</f>
        <v>0</v>
      </c>
      <c r="J1082" s="17">
        <f>B1082/I1082-1</f>
        <v>0</v>
      </c>
    </row>
    <row r="1083" spans="1:10">
      <c r="A1083" s="6">
        <v>45792</v>
      </c>
      <c r="B1083" s="14">
        <v>40483573.17798415</v>
      </c>
      <c r="D1083" s="17">
        <f>B1083/B1082-1</f>
        <v>0</v>
      </c>
      <c r="E1083" s="14">
        <v>20510478.83162617</v>
      </c>
      <c r="F1083" s="17">
        <f>E1083/E1082-1</f>
        <v>0</v>
      </c>
      <c r="G1083" s="14">
        <v>26748056.5763636</v>
      </c>
      <c r="H1083" s="17">
        <f>G1083/G1082-1</f>
        <v>0</v>
      </c>
      <c r="I1083" s="14">
        <f>MAX(I1082,B1083)</f>
        <v>0</v>
      </c>
      <c r="J1083" s="17">
        <f>B1083/I1083-1</f>
        <v>0</v>
      </c>
    </row>
    <row r="1084" spans="1:10">
      <c r="A1084" s="6">
        <v>45793</v>
      </c>
      <c r="B1084" s="14">
        <v>40608895.05481117</v>
      </c>
      <c r="D1084" s="17">
        <f>B1084/B1083-1</f>
        <v>0</v>
      </c>
      <c r="E1084" s="14">
        <v>20585347.18026213</v>
      </c>
      <c r="F1084" s="17">
        <f>E1084/E1083-1</f>
        <v>0</v>
      </c>
      <c r="G1084" s="14">
        <v>27038733.79705767</v>
      </c>
      <c r="H1084" s="17">
        <f>G1084/G1083-1</f>
        <v>0</v>
      </c>
      <c r="I1084" s="14">
        <f>MAX(I1083,B1084)</f>
        <v>0</v>
      </c>
      <c r="J1084" s="17">
        <f>B1084/I1084-1</f>
        <v>0</v>
      </c>
    </row>
    <row r="1085" spans="1:10">
      <c r="A1085" s="6">
        <v>45796</v>
      </c>
      <c r="B1085" s="14">
        <v>41103271.75741949</v>
      </c>
      <c r="D1085" s="17">
        <f>B1085/B1084-1</f>
        <v>0</v>
      </c>
      <c r="E1085" s="14">
        <v>20581737.44377988</v>
      </c>
      <c r="F1085" s="17">
        <f>E1085/E1084-1</f>
        <v>0</v>
      </c>
      <c r="G1085" s="14">
        <v>27168096.21023298</v>
      </c>
      <c r="H1085" s="17">
        <f>G1085/G1084-1</f>
        <v>0</v>
      </c>
      <c r="I1085" s="14">
        <f>MAX(I1084,B1085)</f>
        <v>0</v>
      </c>
      <c r="J1085" s="17">
        <f>B1085/I1085-1</f>
        <v>0</v>
      </c>
    </row>
    <row r="1086" spans="1:10">
      <c r="A1086" s="6">
        <v>45797</v>
      </c>
      <c r="B1086" s="14">
        <v>40115876.29713891</v>
      </c>
      <c r="D1086" s="17">
        <f>B1086/B1085-1</f>
        <v>0</v>
      </c>
      <c r="E1086" s="14">
        <v>20330505.63128617</v>
      </c>
      <c r="F1086" s="17">
        <f>E1086/E1085-1</f>
        <v>0</v>
      </c>
      <c r="G1086" s="14">
        <v>26822458.72203686</v>
      </c>
      <c r="H1086" s="17">
        <f>G1086/G1085-1</f>
        <v>0</v>
      </c>
      <c r="I1086" s="14">
        <f>MAX(I1085,B1086)</f>
        <v>0</v>
      </c>
      <c r="J1086" s="17">
        <f>B1086/I1086-1</f>
        <v>0</v>
      </c>
    </row>
    <row r="1087" spans="1:10">
      <c r="A1087" s="6">
        <v>45798</v>
      </c>
      <c r="B1087" s="14">
        <v>40482745.70394722</v>
      </c>
      <c r="D1087" s="17">
        <f>B1087/B1086-1</f>
        <v>0</v>
      </c>
      <c r="E1087" s="14">
        <v>20462041.71319886</v>
      </c>
      <c r="F1087" s="17">
        <f>E1087/E1086-1</f>
        <v>0</v>
      </c>
      <c r="G1087" s="14">
        <v>27013279.59727187</v>
      </c>
      <c r="H1087" s="17">
        <f>G1087/G1086-1</f>
        <v>0</v>
      </c>
      <c r="I1087" s="14">
        <f>MAX(I1086,B1087)</f>
        <v>0</v>
      </c>
      <c r="J1087" s="17">
        <f>B1087/I1087-1</f>
        <v>0</v>
      </c>
    </row>
    <row r="1088" spans="1:10">
      <c r="A1088" s="6">
        <v>45799</v>
      </c>
      <c r="B1088" s="14">
        <v>40719673.75447939</v>
      </c>
      <c r="D1088" s="17">
        <f>B1088/B1087-1</f>
        <v>0</v>
      </c>
      <c r="E1088" s="14">
        <v>20340904.15021081</v>
      </c>
      <c r="F1088" s="17">
        <f>E1088/E1087-1</f>
        <v>0</v>
      </c>
      <c r="G1088" s="14">
        <v>26962690.43871614</v>
      </c>
      <c r="H1088" s="17">
        <f>G1088/G1087-1</f>
        <v>0</v>
      </c>
      <c r="I1088" s="14">
        <f>MAX(I1087,B1088)</f>
        <v>0</v>
      </c>
      <c r="J1088" s="17">
        <f>B1088/I1088-1</f>
        <v>0</v>
      </c>
    </row>
    <row r="1089" spans="1:10">
      <c r="A1089" s="6">
        <v>45800</v>
      </c>
      <c r="B1089" s="14">
        <v>40778711.33473875</v>
      </c>
      <c r="D1089" s="17">
        <f>B1089/B1088-1</f>
        <v>0</v>
      </c>
      <c r="E1089" s="14">
        <v>20509362.96644135</v>
      </c>
      <c r="F1089" s="17">
        <f>E1089/E1088-1</f>
        <v>0</v>
      </c>
      <c r="G1089" s="14">
        <v>27109452.97588891</v>
      </c>
      <c r="H1089" s="17">
        <f>G1089/G1088-1</f>
        <v>0</v>
      </c>
      <c r="I1089" s="14">
        <f>MAX(I1088,B1089)</f>
        <v>0</v>
      </c>
      <c r="J1089" s="17">
        <f>B1089/I1089-1</f>
        <v>0</v>
      </c>
    </row>
    <row r="1090" spans="1:10">
      <c r="A1090" s="6">
        <v>45803</v>
      </c>
      <c r="B1090" s="14">
        <v>41054260.35100892</v>
      </c>
      <c r="D1090" s="17">
        <f>B1090/B1089-1</f>
        <v>0</v>
      </c>
      <c r="E1090" s="14">
        <v>20624900.44821169</v>
      </c>
      <c r="F1090" s="17">
        <f>E1090/E1089-1</f>
        <v>0</v>
      </c>
      <c r="G1090" s="14">
        <v>27273571.03115983</v>
      </c>
      <c r="H1090" s="17">
        <f>G1090/G1089-1</f>
        <v>0</v>
      </c>
      <c r="I1090" s="14">
        <f>MAX(I1089,B1090)</f>
        <v>0</v>
      </c>
      <c r="J1090" s="17">
        <f>B1090/I1090-1</f>
        <v>0</v>
      </c>
    </row>
    <row r="1091" spans="1:10">
      <c r="A1091" s="6">
        <v>45804</v>
      </c>
      <c r="B1091" s="14">
        <v>40850945.97549693</v>
      </c>
      <c r="D1091" s="17">
        <f>B1091/B1090-1</f>
        <v>0</v>
      </c>
      <c r="E1091" s="14">
        <v>20543232.10987307</v>
      </c>
      <c r="F1091" s="17">
        <f>E1091/E1090-1</f>
        <v>0</v>
      </c>
      <c r="G1091" s="14">
        <v>27283512.42020247</v>
      </c>
      <c r="H1091" s="17">
        <f>G1091/G1090-1</f>
        <v>0</v>
      </c>
      <c r="I1091" s="14">
        <f>MAX(I1090,B1091)</f>
        <v>0</v>
      </c>
      <c r="J1091" s="17">
        <f>B1091/I1091-1</f>
        <v>0</v>
      </c>
    </row>
    <row r="1092" spans="1:10">
      <c r="A1092" s="6">
        <v>45805</v>
      </c>
      <c r="B1092" s="14">
        <v>40772537.04973505</v>
      </c>
      <c r="D1092" s="17">
        <f>B1092/B1091-1</f>
        <v>0</v>
      </c>
      <c r="E1092" s="14">
        <v>20510807.08128022</v>
      </c>
      <c r="F1092" s="17">
        <f>E1092/E1091-1</f>
        <v>0</v>
      </c>
      <c r="G1092" s="14">
        <v>27296248.04485277</v>
      </c>
      <c r="H1092" s="17">
        <f>G1092/G1091-1</f>
        <v>0</v>
      </c>
      <c r="I1092" s="14">
        <f>MAX(I1091,B1092)</f>
        <v>0</v>
      </c>
      <c r="J1092" s="17">
        <f>B1092/I1092-1</f>
        <v>0</v>
      </c>
    </row>
    <row r="1093" spans="1:10">
      <c r="A1093" s="6">
        <v>45806</v>
      </c>
      <c r="B1093" s="14">
        <v>40614795.93021907</v>
      </c>
      <c r="D1093" s="17">
        <f>B1093/B1092-1</f>
        <v>0</v>
      </c>
      <c r="E1093" s="14">
        <v>20585571.70824818</v>
      </c>
      <c r="F1093" s="17">
        <f>E1093/E1092-1</f>
        <v>0</v>
      </c>
      <c r="G1093" s="14">
        <v>27399236.88043585</v>
      </c>
      <c r="H1093" s="17">
        <f>G1093/G1092-1</f>
        <v>0</v>
      </c>
      <c r="I1093" s="14">
        <f>MAX(I1092,B1093)</f>
        <v>0</v>
      </c>
      <c r="J1093" s="17">
        <f>B1093/I1093-1</f>
        <v>0</v>
      </c>
    </row>
    <row r="1094" spans="1:10">
      <c r="A1094" s="6">
        <v>45807</v>
      </c>
      <c r="B1094" s="14">
        <v>40765715.04954801</v>
      </c>
      <c r="D1094" s="17">
        <f>B1094/B1093-1</f>
        <v>0</v>
      </c>
      <c r="E1094" s="14">
        <v>20533064.71137172</v>
      </c>
      <c r="F1094" s="17">
        <f>E1094/E1093-1</f>
        <v>0</v>
      </c>
      <c r="G1094" s="14">
        <v>27345549.85044267</v>
      </c>
      <c r="H1094" s="17">
        <f>G1094/G1093-1</f>
        <v>0</v>
      </c>
      <c r="I1094" s="14">
        <f>MAX(I1093,B1094)</f>
        <v>0</v>
      </c>
      <c r="J1094" s="17">
        <f>B1094/I1094-1</f>
        <v>0</v>
      </c>
    </row>
    <row r="1095" spans="1:10">
      <c r="A1095" s="6">
        <v>45810</v>
      </c>
      <c r="B1095" s="14">
        <v>40731395.16959468</v>
      </c>
      <c r="D1095" s="17">
        <f>B1095/B1094-1</f>
        <v>0</v>
      </c>
      <c r="E1095" s="14">
        <v>20563354.32559508</v>
      </c>
      <c r="F1095" s="17">
        <f>E1095/E1094-1</f>
        <v>0</v>
      </c>
      <c r="G1095" s="14">
        <v>27456135.52910946</v>
      </c>
      <c r="H1095" s="17">
        <f>G1095/G1094-1</f>
        <v>0</v>
      </c>
      <c r="I1095" s="14">
        <f>MAX(I1094,B1095)</f>
        <v>0</v>
      </c>
      <c r="J1095" s="17">
        <f>B1095/I1095-1</f>
        <v>0</v>
      </c>
    </row>
    <row r="1096" spans="1:10">
      <c r="A1096" s="6">
        <v>45811</v>
      </c>
      <c r="B1096" s="14">
        <v>40746001.17986138</v>
      </c>
      <c r="D1096" s="17">
        <f>B1096/B1095-1</f>
        <v>0</v>
      </c>
      <c r="E1096" s="14">
        <v>20453387.85041122</v>
      </c>
      <c r="F1096" s="17">
        <f>E1096/E1095-1</f>
        <v>0</v>
      </c>
      <c r="G1096" s="14">
        <v>27387537.64408117</v>
      </c>
      <c r="H1096" s="17">
        <f>G1096/G1095-1</f>
        <v>0</v>
      </c>
      <c r="I1096" s="14">
        <f>MAX(I1095,B1096)</f>
        <v>0</v>
      </c>
      <c r="J1096" s="17">
        <f>B1096/I1096-1</f>
        <v>0</v>
      </c>
    </row>
    <row r="1097" spans="1:10">
      <c r="A1097" s="6">
        <v>45812</v>
      </c>
      <c r="B1097" s="14">
        <v>41173560.48779069</v>
      </c>
      <c r="D1097" s="17">
        <f>B1097/B1096-1</f>
        <v>0</v>
      </c>
      <c r="E1097" s="14">
        <v>20541311.95446425</v>
      </c>
      <c r="F1097" s="17">
        <f>E1097/E1096-1</f>
        <v>0</v>
      </c>
      <c r="G1097" s="14">
        <v>27571411.94939545</v>
      </c>
      <c r="H1097" s="17">
        <f>G1097/G1096-1</f>
        <v>0</v>
      </c>
      <c r="I1097" s="14">
        <f>MAX(I1096,B1097)</f>
        <v>0</v>
      </c>
      <c r="J1097" s="17">
        <f>B1097/I1097-1</f>
        <v>0</v>
      </c>
    </row>
    <row r="1098" spans="1:10">
      <c r="A1098" s="6">
        <v>45813</v>
      </c>
      <c r="B1098" s="14">
        <v>41341378.10297529</v>
      </c>
      <c r="D1098" s="17">
        <f>B1098/B1097-1</f>
        <v>0</v>
      </c>
      <c r="E1098" s="14">
        <v>20656354.57803085</v>
      </c>
      <c r="F1098" s="17">
        <f>E1098/E1097-1</f>
        <v>0</v>
      </c>
      <c r="G1098" s="14">
        <v>27713721.62269492</v>
      </c>
      <c r="H1098" s="17">
        <f>G1098/G1097-1</f>
        <v>0</v>
      </c>
      <c r="I1098" s="14">
        <f>MAX(I1097,B1098)</f>
        <v>0</v>
      </c>
      <c r="J1098" s="17">
        <f>B1098/I1098-1</f>
        <v>0</v>
      </c>
    </row>
    <row r="1099" spans="1:10">
      <c r="A1099" s="6">
        <v>45814</v>
      </c>
      <c r="B1099" s="14">
        <v>41900869.01557396</v>
      </c>
      <c r="D1099" s="17">
        <f>B1099/B1098-1</f>
        <v>0</v>
      </c>
      <c r="E1099" s="14">
        <v>20865031.74540291</v>
      </c>
      <c r="F1099" s="17">
        <f>E1099/E1098-1</f>
        <v>0</v>
      </c>
      <c r="G1099" s="14">
        <v>27955452.99257004</v>
      </c>
      <c r="H1099" s="17">
        <f>G1099/G1098-1</f>
        <v>0</v>
      </c>
      <c r="I1099" s="14">
        <f>MAX(I1098,B1099)</f>
        <v>0</v>
      </c>
      <c r="J1099" s="17">
        <f>B1099/I1099-1</f>
        <v>0</v>
      </c>
    </row>
    <row r="1100" spans="1:10">
      <c r="A1100" s="6">
        <v>45817</v>
      </c>
      <c r="B1100" s="14">
        <v>42454683.14218172</v>
      </c>
      <c r="D1100" s="17">
        <f>B1100/B1099-1</f>
        <v>0</v>
      </c>
      <c r="E1100" s="14">
        <v>21015048.8067675</v>
      </c>
      <c r="F1100" s="17">
        <f>E1100/E1099-1</f>
        <v>0</v>
      </c>
      <c r="G1100" s="14">
        <v>28255093.83670118</v>
      </c>
      <c r="H1100" s="17">
        <f>G1100/G1099-1</f>
        <v>0</v>
      </c>
      <c r="I1100" s="14">
        <f>MAX(I1099,B1100)</f>
        <v>0</v>
      </c>
      <c r="J1100" s="17">
        <f>B1100/I1100-1</f>
        <v>0</v>
      </c>
    </row>
    <row r="1101" spans="1:10">
      <c r="A1101" s="6">
        <v>45818</v>
      </c>
      <c r="B1101" s="14">
        <v>42414076.74716823</v>
      </c>
      <c r="D1101" s="17">
        <f>B1101/B1100-1</f>
        <v>0</v>
      </c>
      <c r="E1101" s="14">
        <v>21024515.18818834</v>
      </c>
      <c r="F1101" s="17">
        <f>E1101/E1100-1</f>
        <v>0</v>
      </c>
      <c r="G1101" s="14">
        <v>28293467.11093073</v>
      </c>
      <c r="H1101" s="17">
        <f>G1101/G1100-1</f>
        <v>0</v>
      </c>
      <c r="I1101" s="14">
        <f>MAX(I1100,B1101)</f>
        <v>0</v>
      </c>
      <c r="J1101" s="17">
        <f>B1101/I1101-1</f>
        <v>0</v>
      </c>
    </row>
    <row r="1102" spans="1:10">
      <c r="A1102" s="6">
        <v>45819</v>
      </c>
      <c r="B1102" s="14">
        <v>42432043.0628923</v>
      </c>
      <c r="D1102" s="17">
        <f>B1102/B1101-1</f>
        <v>0</v>
      </c>
      <c r="E1102" s="14">
        <v>21023625.03744468</v>
      </c>
      <c r="F1102" s="17">
        <f>E1102/E1101-1</f>
        <v>0</v>
      </c>
      <c r="G1102" s="14">
        <v>28268298.92703431</v>
      </c>
      <c r="H1102" s="17">
        <f>G1102/G1101-1</f>
        <v>0</v>
      </c>
      <c r="I1102" s="14">
        <f>MAX(I1101,B1102)</f>
        <v>0</v>
      </c>
      <c r="J1102" s="17">
        <f>B1102/I1102-1</f>
        <v>0</v>
      </c>
    </row>
    <row r="1103" spans="1:10">
      <c r="A1103" s="6">
        <v>45820</v>
      </c>
      <c r="B1103" s="14">
        <v>42062386.22245739</v>
      </c>
      <c r="D1103" s="17">
        <f>B1103/B1102-1</f>
        <v>0</v>
      </c>
      <c r="E1103" s="14">
        <v>20762121.57651392</v>
      </c>
      <c r="F1103" s="17">
        <f>E1103/E1102-1</f>
        <v>0</v>
      </c>
      <c r="G1103" s="14">
        <v>27826076.3338745</v>
      </c>
      <c r="H1103" s="17">
        <f>G1103/G1102-1</f>
        <v>0</v>
      </c>
      <c r="I1103" s="14">
        <f>MAX(I1102,B1103)</f>
        <v>0</v>
      </c>
      <c r="J1103" s="17">
        <f>B1103/I1103-1</f>
        <v>0</v>
      </c>
    </row>
    <row r="1104" spans="1:10">
      <c r="A1104" s="6">
        <v>45821</v>
      </c>
      <c r="B1104" s="14">
        <v>41947081.0596264</v>
      </c>
      <c r="D1104" s="17">
        <f>B1104/B1103-1</f>
        <v>0</v>
      </c>
      <c r="E1104" s="14">
        <v>20636761.6074301</v>
      </c>
      <c r="F1104" s="17">
        <f>E1104/E1103-1</f>
        <v>0</v>
      </c>
      <c r="G1104" s="14">
        <v>27678194.63895627</v>
      </c>
      <c r="H1104" s="17">
        <f>G1104/G1103-1</f>
        <v>0</v>
      </c>
      <c r="I1104" s="14">
        <f>MAX(I1103,B1104)</f>
        <v>0</v>
      </c>
      <c r="J1104" s="17">
        <f>B1104/I1104-1</f>
        <v>0</v>
      </c>
    </row>
    <row r="1105" spans="1:10">
      <c r="A1105" s="6">
        <v>45824</v>
      </c>
      <c r="B1105" s="14">
        <v>42147625.45510473</v>
      </c>
      <c r="D1105" s="17">
        <f>B1105/B1104-1</f>
        <v>0</v>
      </c>
      <c r="E1105" s="14">
        <v>20807885.35547061</v>
      </c>
      <c r="F1105" s="17">
        <f>E1105/E1104-1</f>
        <v>0</v>
      </c>
      <c r="G1105" s="14">
        <v>27858647.56120342</v>
      </c>
      <c r="H1105" s="17">
        <f>G1105/G1104-1</f>
        <v>0</v>
      </c>
      <c r="I1105" s="14">
        <f>MAX(I1104,B1105)</f>
        <v>0</v>
      </c>
      <c r="J1105" s="17">
        <f>B1105/I1105-1</f>
        <v>0</v>
      </c>
    </row>
    <row r="1106" spans="1:10">
      <c r="A1106" s="6">
        <v>45825</v>
      </c>
      <c r="B1106" s="14">
        <v>41945819.70916609</v>
      </c>
      <c r="D1106" s="17">
        <f>B1106/B1105-1</f>
        <v>0</v>
      </c>
      <c r="E1106" s="14">
        <v>20706570.66729402</v>
      </c>
      <c r="F1106" s="17">
        <f>E1106/E1105-1</f>
        <v>0</v>
      </c>
      <c r="G1106" s="14">
        <v>27679422.7865785</v>
      </c>
      <c r="H1106" s="17">
        <f>G1106/G1105-1</f>
        <v>0</v>
      </c>
      <c r="I1106" s="14">
        <f>MAX(I1105,B1106)</f>
        <v>0</v>
      </c>
      <c r="J1106" s="17">
        <f>B1106/I1106-1</f>
        <v>0</v>
      </c>
    </row>
    <row r="1107" spans="1:10">
      <c r="A1107" s="6">
        <v>45826</v>
      </c>
      <c r="B1107" s="14">
        <v>41902370.60454769</v>
      </c>
      <c r="D1107" s="17">
        <f>B1107/B1106-1</f>
        <v>0</v>
      </c>
      <c r="E1107" s="14">
        <v>20656829.10464305</v>
      </c>
      <c r="F1107" s="17">
        <f>E1107/E1106-1</f>
        <v>0</v>
      </c>
      <c r="G1107" s="14">
        <v>27590747.04366208</v>
      </c>
      <c r="H1107" s="17">
        <f>G1107/G1106-1</f>
        <v>0</v>
      </c>
      <c r="I1107" s="14">
        <f>MAX(I1106,B1107)</f>
        <v>0</v>
      </c>
      <c r="J1107" s="17">
        <f>B1107/I1107-1</f>
        <v>0</v>
      </c>
    </row>
    <row r="1108" spans="1:10">
      <c r="A1108" s="6">
        <v>45827</v>
      </c>
      <c r="B1108" s="14">
        <v>41773046.2534894</v>
      </c>
      <c r="D1108" s="17">
        <f>B1108/B1107-1</f>
        <v>0</v>
      </c>
      <c r="E1108" s="14">
        <v>20512113.12949795</v>
      </c>
      <c r="F1108" s="17">
        <f>E1108/E1107-1</f>
        <v>0</v>
      </c>
      <c r="G1108" s="14">
        <v>27186558.13372782</v>
      </c>
      <c r="H1108" s="17">
        <f>G1108/G1107-1</f>
        <v>0</v>
      </c>
      <c r="I1108" s="14">
        <f>MAX(I1107,B1108)</f>
        <v>0</v>
      </c>
      <c r="J1108" s="17">
        <f>B1108/I1108-1</f>
        <v>0</v>
      </c>
    </row>
    <row r="1109" spans="1:10">
      <c r="A1109" s="6">
        <v>45828</v>
      </c>
      <c r="B1109" s="14">
        <v>42174663.20915035</v>
      </c>
      <c r="D1109" s="17">
        <f>B1109/B1108-1</f>
        <v>0</v>
      </c>
      <c r="E1109" s="14">
        <v>20763233.96919541</v>
      </c>
      <c r="F1109" s="17">
        <f>E1109/E1108-1</f>
        <v>0</v>
      </c>
      <c r="G1109" s="14">
        <v>27399696.36938702</v>
      </c>
      <c r="H1109" s="17">
        <f>G1109/G1108-1</f>
        <v>0</v>
      </c>
      <c r="I1109" s="14">
        <f>MAX(I1108,B1109)</f>
        <v>0</v>
      </c>
      <c r="J1109" s="17">
        <f>B1109/I1109-1</f>
        <v>0</v>
      </c>
    </row>
    <row r="1110" spans="1:10">
      <c r="A1110" s="6">
        <v>45831</v>
      </c>
      <c r="B1110" s="14">
        <v>42254641.42525233</v>
      </c>
      <c r="D1110" s="17">
        <f>B1110/B1109-1</f>
        <v>0</v>
      </c>
      <c r="E1110" s="14">
        <v>20728537.94135635</v>
      </c>
      <c r="F1110" s="17">
        <f>E1110/E1109-1</f>
        <v>0</v>
      </c>
      <c r="G1110" s="14">
        <v>27503673.13531002</v>
      </c>
      <c r="H1110" s="17">
        <f>G1110/G1109-1</f>
        <v>0</v>
      </c>
      <c r="I1110" s="14">
        <f>MAX(I1109,B1110)</f>
        <v>0</v>
      </c>
      <c r="J1110" s="17">
        <f>B1110/I1110-1</f>
        <v>0</v>
      </c>
    </row>
    <row r="1111" spans="1:10">
      <c r="A1111" s="6">
        <v>45832</v>
      </c>
      <c r="B1111" s="14">
        <v>42583889.21094814</v>
      </c>
      <c r="D1111" s="17">
        <f>B1111/B1110-1</f>
        <v>0</v>
      </c>
      <c r="E1111" s="14">
        <v>20830186.34076078</v>
      </c>
      <c r="F1111" s="17">
        <f>E1111/E1110-1</f>
        <v>0</v>
      </c>
      <c r="G1111" s="14">
        <v>27675427.60009015</v>
      </c>
      <c r="H1111" s="17">
        <f>G1111/G1110-1</f>
        <v>0</v>
      </c>
      <c r="I1111" s="14">
        <f>MAX(I1110,B1111)</f>
        <v>0</v>
      </c>
      <c r="J1111" s="17">
        <f>B1111/I1111-1</f>
        <v>0</v>
      </c>
    </row>
    <row r="1112" spans="1:10">
      <c r="A1112" s="6">
        <v>45833</v>
      </c>
      <c r="B1112" s="14">
        <v>42900945.14835203</v>
      </c>
      <c r="D1112" s="17">
        <f>B1112/B1111-1</f>
        <v>0</v>
      </c>
      <c r="E1112" s="14">
        <v>20996688.5250456</v>
      </c>
      <c r="F1112" s="17">
        <f>E1112/E1111-1</f>
        <v>0</v>
      </c>
      <c r="G1112" s="14">
        <v>27905846.2251094</v>
      </c>
      <c r="H1112" s="17">
        <f>G1112/G1111-1</f>
        <v>0</v>
      </c>
      <c r="I1112" s="14">
        <f>MAX(I1111,B1112)</f>
        <v>0</v>
      </c>
      <c r="J1112" s="17">
        <f>B1112/I1112-1</f>
        <v>0</v>
      </c>
    </row>
    <row r="1113" spans="1:10">
      <c r="A1113" s="6">
        <v>45834</v>
      </c>
      <c r="B1113" s="14">
        <v>43257038.22164891</v>
      </c>
      <c r="D1113" s="17">
        <f>B1113/B1112-1</f>
        <v>0</v>
      </c>
      <c r="E1113" s="14">
        <v>21196599.11454624</v>
      </c>
      <c r="F1113" s="17">
        <f>E1113/E1112-1</f>
        <v>0</v>
      </c>
      <c r="G1113" s="14">
        <v>28098986.80414088</v>
      </c>
      <c r="H1113" s="17">
        <f>G1113/G1112-1</f>
        <v>0</v>
      </c>
      <c r="I1113" s="14">
        <f>MAX(I1112,B1113)</f>
        <v>0</v>
      </c>
      <c r="J1113" s="17">
        <f>B1113/I1113-1</f>
        <v>0</v>
      </c>
    </row>
    <row r="1114" spans="1:10">
      <c r="A1114" s="6">
        <v>45835</v>
      </c>
      <c r="B1114" s="14">
        <v>43863931.82146021</v>
      </c>
      <c r="D1114" s="17">
        <f>B1114/B1113-1</f>
        <v>0</v>
      </c>
      <c r="E1114" s="14">
        <v>21290082.51035309</v>
      </c>
      <c r="F1114" s="17">
        <f>E1114/E1113-1</f>
        <v>0</v>
      </c>
      <c r="G1114" s="14">
        <v>28234733.97909336</v>
      </c>
      <c r="H1114" s="17">
        <f>G1114/G1113-1</f>
        <v>0</v>
      </c>
      <c r="I1114" s="14">
        <f>MAX(I1113,B1114)</f>
        <v>0</v>
      </c>
      <c r="J1114" s="17">
        <f>B1114/I1114-1</f>
        <v>0</v>
      </c>
    </row>
    <row r="1115" spans="1:10">
      <c r="A1115" s="6">
        <v>45838</v>
      </c>
      <c r="B1115" s="14">
        <v>44315047.50712006</v>
      </c>
      <c r="D1115" s="17">
        <f>B1115/B1114-1</f>
        <v>0</v>
      </c>
      <c r="E1115" s="14">
        <v>21288436.27754537</v>
      </c>
      <c r="F1115" s="17">
        <f>E1115/E1114-1</f>
        <v>0</v>
      </c>
      <c r="G1115" s="14">
        <v>28382902.54692094</v>
      </c>
      <c r="H1115" s="17">
        <f>G1115/G1114-1</f>
        <v>0</v>
      </c>
      <c r="I1115" s="14">
        <f>MAX(I1114,B1115)</f>
        <v>0</v>
      </c>
      <c r="J1115" s="17">
        <f>B1115/I1115-1</f>
        <v>0</v>
      </c>
    </row>
    <row r="1116" spans="1:10">
      <c r="A1116" s="6">
        <v>45839</v>
      </c>
      <c r="B1116" s="14">
        <v>44011084.62727445</v>
      </c>
      <c r="D1116" s="17">
        <f>B1116/B1115-1</f>
        <v>0</v>
      </c>
      <c r="E1116" s="14">
        <v>21287872.57054204</v>
      </c>
      <c r="F1116" s="17">
        <f>E1116/E1115-1</f>
        <v>0</v>
      </c>
      <c r="G1116" s="14">
        <v>28335416.78257071</v>
      </c>
      <c r="H1116" s="17">
        <f>G1116/G1115-1</f>
        <v>0</v>
      </c>
      <c r="I1116" s="14">
        <f>MAX(I1115,B1116)</f>
        <v>0</v>
      </c>
      <c r="J1116" s="17">
        <f>B1116/I1116-1</f>
        <v>0</v>
      </c>
    </row>
    <row r="1117" spans="1:10">
      <c r="A1117" s="6">
        <v>45840</v>
      </c>
      <c r="B1117" s="14">
        <v>43727552.81974217</v>
      </c>
      <c r="D1117" s="17">
        <f>B1117/B1116-1</f>
        <v>0</v>
      </c>
      <c r="E1117" s="14">
        <v>21227408.88467277</v>
      </c>
      <c r="F1117" s="17">
        <f>E1117/E1116-1</f>
        <v>0</v>
      </c>
      <c r="G1117" s="14">
        <v>28279962.5096702</v>
      </c>
      <c r="H1117" s="17">
        <f>G1117/G1116-1</f>
        <v>0</v>
      </c>
      <c r="I1117" s="14">
        <f>MAX(I1116,B1117)</f>
        <v>0</v>
      </c>
      <c r="J1117" s="17">
        <f>B1117/I1117-1</f>
        <v>0</v>
      </c>
    </row>
    <row r="1118" spans="1:10">
      <c r="A1118" s="6">
        <v>45841</v>
      </c>
      <c r="B1118" s="14">
        <v>43472550.81261279</v>
      </c>
      <c r="D1118" s="17">
        <f>B1118/B1117-1</f>
        <v>0</v>
      </c>
      <c r="E1118" s="14">
        <v>21205521.73289979</v>
      </c>
      <c r="F1118" s="17">
        <f>E1118/E1117-1</f>
        <v>0</v>
      </c>
      <c r="G1118" s="14">
        <v>28297153.55990161</v>
      </c>
      <c r="H1118" s="17">
        <f>G1118/G1117-1</f>
        <v>0</v>
      </c>
      <c r="I1118" s="14">
        <f>MAX(I1117,B1118)</f>
        <v>0</v>
      </c>
      <c r="J1118" s="17">
        <f>B1118/I1118-1</f>
        <v>0</v>
      </c>
    </row>
    <row r="1119" spans="1:10">
      <c r="A1119" s="6">
        <v>45842</v>
      </c>
      <c r="B1119" s="14">
        <v>43602325.8030143</v>
      </c>
      <c r="D1119" s="17">
        <f>B1119/B1118-1</f>
        <v>0</v>
      </c>
      <c r="E1119" s="14">
        <v>21243133.05878158</v>
      </c>
      <c r="F1119" s="17">
        <f>E1119/E1118-1</f>
        <v>0</v>
      </c>
      <c r="G1119" s="14">
        <v>28343643.85183133</v>
      </c>
      <c r="H1119" s="17">
        <f>G1119/G1118-1</f>
        <v>0</v>
      </c>
      <c r="I1119" s="14">
        <f>MAX(I1118,B1119)</f>
        <v>0</v>
      </c>
      <c r="J1119" s="17">
        <f>B1119/I1119-1</f>
        <v>0</v>
      </c>
    </row>
    <row r="1120" spans="1:10">
      <c r="A1120" s="6">
        <v>45845</v>
      </c>
      <c r="B1120" s="14">
        <v>43673967.03520453</v>
      </c>
      <c r="D1120" s="17">
        <f>B1120/B1119-1</f>
        <v>0</v>
      </c>
      <c r="E1120" s="14">
        <v>21234002.00473867</v>
      </c>
      <c r="F1120" s="17">
        <f>E1120/E1119-1</f>
        <v>0</v>
      </c>
      <c r="G1120" s="14">
        <v>28316232.87319364</v>
      </c>
      <c r="H1120" s="17">
        <f>G1120/G1119-1</f>
        <v>0</v>
      </c>
      <c r="I1120" s="14">
        <f>MAX(I1119,B1120)</f>
        <v>0</v>
      </c>
      <c r="J1120" s="17">
        <f>B1120/I1120-1</f>
        <v>0</v>
      </c>
    </row>
    <row r="1121" spans="1:10">
      <c r="A1121" s="6">
        <v>45846</v>
      </c>
      <c r="B1121" s="14">
        <v>43633860.73311064</v>
      </c>
      <c r="D1121" s="17">
        <f>B1121/B1120-1</f>
        <v>0</v>
      </c>
      <c r="E1121" s="14">
        <v>21254263.93474115</v>
      </c>
      <c r="F1121" s="17">
        <f>E1121/E1120-1</f>
        <v>0</v>
      </c>
      <c r="G1121" s="14">
        <v>28293027.96299879</v>
      </c>
      <c r="H1121" s="17">
        <f>G1121/G1120-1</f>
        <v>0</v>
      </c>
      <c r="I1121" s="14">
        <f>MAX(I1120,B1121)</f>
        <v>0</v>
      </c>
      <c r="J1121" s="17">
        <f>B1121/I1121-1</f>
        <v>0</v>
      </c>
    </row>
    <row r="1122" spans="1:10">
      <c r="A1122" s="6">
        <v>45847</v>
      </c>
      <c r="B1122" s="14">
        <v>43962858.42664044</v>
      </c>
      <c r="D1122" s="17">
        <f>B1122/B1121-1</f>
        <v>0</v>
      </c>
      <c r="E1122" s="14">
        <v>21241659.67161764</v>
      </c>
      <c r="F1122" s="17">
        <f>E1122/E1121-1</f>
        <v>0</v>
      </c>
      <c r="G1122" s="14">
        <v>28340600.10676731</v>
      </c>
      <c r="H1122" s="17">
        <f>G1122/G1121-1</f>
        <v>0</v>
      </c>
      <c r="I1122" s="14">
        <f>MAX(I1121,B1122)</f>
        <v>0</v>
      </c>
      <c r="J1122" s="17">
        <f>B1122/I1122-1</f>
        <v>0</v>
      </c>
    </row>
    <row r="1123" spans="1:10">
      <c r="A1123" s="6">
        <v>45848</v>
      </c>
      <c r="B1123" s="14">
        <v>43587036.4018942</v>
      </c>
      <c r="D1123" s="17">
        <f>B1123/B1122-1</f>
        <v>0</v>
      </c>
      <c r="E1123" s="14">
        <v>21165081.2880066</v>
      </c>
      <c r="F1123" s="17">
        <f>E1123/E1122-1</f>
        <v>0</v>
      </c>
      <c r="G1123" s="14">
        <v>28281727.67181093</v>
      </c>
      <c r="H1123" s="17">
        <f>G1123/G1122-1</f>
        <v>0</v>
      </c>
      <c r="I1123" s="14">
        <f>MAX(I1122,B1123)</f>
        <v>0</v>
      </c>
      <c r="J1123" s="17">
        <f>B1123/I1123-1</f>
        <v>0</v>
      </c>
    </row>
    <row r="1124" spans="1:10">
      <c r="A1124" s="6">
        <v>45849</v>
      </c>
      <c r="B1124" s="14">
        <v>43293146.86815298</v>
      </c>
      <c r="D1124" s="17">
        <f>B1124/B1123-1</f>
        <v>0</v>
      </c>
      <c r="E1124" s="14">
        <v>20995929.90946034</v>
      </c>
      <c r="F1124" s="17">
        <f>E1124/E1123-1</f>
        <v>0</v>
      </c>
      <c r="G1124" s="14">
        <v>28066314.47668178</v>
      </c>
      <c r="H1124" s="17">
        <f>G1124/G1123-1</f>
        <v>0</v>
      </c>
      <c r="I1124" s="14">
        <f>MAX(I1123,B1124)</f>
        <v>0</v>
      </c>
      <c r="J1124" s="17">
        <f>B1124/I1124-1</f>
        <v>0</v>
      </c>
    </row>
    <row r="1125" spans="1:10">
      <c r="A1125" s="6">
        <v>45852</v>
      </c>
      <c r="B1125" s="14">
        <v>43494150.61936207</v>
      </c>
      <c r="D1125" s="17">
        <f>B1125/B1124-1</f>
        <v>0</v>
      </c>
      <c r="E1125" s="14">
        <v>21020693.09265261</v>
      </c>
      <c r="F1125" s="17">
        <f>E1125/E1124-1</f>
        <v>0</v>
      </c>
      <c r="G1125" s="14">
        <v>28180182.24636541</v>
      </c>
      <c r="H1125" s="17">
        <f>G1125/G1124-1</f>
        <v>0</v>
      </c>
      <c r="I1125" s="14">
        <f>MAX(I1124,B1125)</f>
        <v>0</v>
      </c>
      <c r="J1125" s="17">
        <f>B1125/I1125-1</f>
        <v>0</v>
      </c>
    </row>
    <row r="1126" spans="1:10">
      <c r="A1126" s="6">
        <v>45853</v>
      </c>
      <c r="B1126" s="14">
        <v>43391068.65033841</v>
      </c>
      <c r="D1126" s="17">
        <f>B1126/B1125-1</f>
        <v>0</v>
      </c>
      <c r="E1126" s="14">
        <v>21148039.45858179</v>
      </c>
      <c r="F1126" s="17">
        <f>E1126/E1125-1</f>
        <v>0</v>
      </c>
      <c r="G1126" s="14">
        <v>28398506.76910264</v>
      </c>
      <c r="H1126" s="17">
        <f>G1126/G1125-1</f>
        <v>0</v>
      </c>
      <c r="I1126" s="14">
        <f>MAX(I1125,B1126)</f>
        <v>0</v>
      </c>
      <c r="J1126" s="17">
        <f>B1126/I1126-1</f>
        <v>0</v>
      </c>
    </row>
    <row r="1127" spans="1:10">
      <c r="A1127" s="6">
        <v>45854</v>
      </c>
      <c r="B1127" s="14">
        <v>43389061.63824449</v>
      </c>
      <c r="D1127" s="17">
        <f>B1127/B1126-1</f>
        <v>0</v>
      </c>
      <c r="E1127" s="14">
        <v>21170104.77467708</v>
      </c>
      <c r="F1127" s="17">
        <f>E1127/E1126-1</f>
        <v>0</v>
      </c>
      <c r="G1127" s="14">
        <v>28421472.11974547</v>
      </c>
      <c r="H1127" s="17">
        <f>G1127/G1126-1</f>
        <v>0</v>
      </c>
      <c r="I1127" s="14">
        <f>MAX(I1126,B1127)</f>
        <v>0</v>
      </c>
      <c r="J1127" s="17">
        <f>B1127/I1127-1</f>
        <v>0</v>
      </c>
    </row>
    <row r="1128" spans="1:10">
      <c r="A1128" s="6">
        <v>45855</v>
      </c>
      <c r="B1128" s="14">
        <v>43483018.46502635</v>
      </c>
      <c r="D1128" s="17">
        <f>B1128/B1127-1</f>
        <v>0</v>
      </c>
      <c r="E1128" s="14">
        <v>21123491.27212472</v>
      </c>
      <c r="F1128" s="17">
        <f>E1128/E1127-1</f>
        <v>0</v>
      </c>
      <c r="G1128" s="14">
        <v>28471519.8760461</v>
      </c>
      <c r="H1128" s="17">
        <f>G1128/G1127-1</f>
        <v>0</v>
      </c>
      <c r="I1128" s="14">
        <f>MAX(I1127,B1128)</f>
        <v>0</v>
      </c>
      <c r="J1128" s="17">
        <f>B1128/I1128-1</f>
        <v>0</v>
      </c>
    </row>
    <row r="1129" spans="1:10">
      <c r="A1129" s="6">
        <v>45856</v>
      </c>
      <c r="B1129" s="14">
        <v>42974089.90436872</v>
      </c>
      <c r="D1129" s="17">
        <f>B1129/B1128-1</f>
        <v>0</v>
      </c>
      <c r="E1129" s="14">
        <v>20994120.75966111</v>
      </c>
      <c r="F1129" s="17">
        <f>E1129/E1128-1</f>
        <v>0</v>
      </c>
      <c r="G1129" s="14">
        <v>28283230.75649304</v>
      </c>
      <c r="H1129" s="17">
        <f>G1129/G1128-1</f>
        <v>0</v>
      </c>
      <c r="I1129" s="14">
        <f>MAX(I1128,B1129)</f>
        <v>0</v>
      </c>
      <c r="J1129" s="17">
        <f>B1129/I1129-1</f>
        <v>0</v>
      </c>
    </row>
    <row r="1130" spans="1:10">
      <c r="A1130" s="6">
        <v>45859</v>
      </c>
      <c r="B1130" s="14">
        <v>43255291.80905968</v>
      </c>
      <c r="D1130" s="17">
        <f>B1130/B1129-1</f>
        <v>0</v>
      </c>
      <c r="E1130" s="14">
        <v>21088295.73466196</v>
      </c>
      <c r="F1130" s="17">
        <f>E1130/E1129-1</f>
        <v>0</v>
      </c>
      <c r="G1130" s="14">
        <v>28363498.93893925</v>
      </c>
      <c r="H1130" s="17">
        <f>G1130/G1129-1</f>
        <v>0</v>
      </c>
      <c r="I1130" s="14">
        <f>MAX(I1129,B1130)</f>
        <v>0</v>
      </c>
      <c r="J1130" s="17">
        <f>B1130/I1130-1</f>
        <v>0</v>
      </c>
    </row>
    <row r="1131" spans="1:10">
      <c r="A1131" s="6">
        <v>45860</v>
      </c>
      <c r="B1131" s="14">
        <v>43339942.13311061</v>
      </c>
      <c r="D1131" s="17">
        <f>B1131/B1130-1</f>
        <v>0</v>
      </c>
      <c r="E1131" s="14">
        <v>21037388.59577246</v>
      </c>
      <c r="F1131" s="17">
        <f>E1131/E1130-1</f>
        <v>0</v>
      </c>
      <c r="G1131" s="14">
        <v>28238107.29382936</v>
      </c>
      <c r="H1131" s="17">
        <f>G1131/G1130-1</f>
        <v>0</v>
      </c>
      <c r="I1131" s="14">
        <f>MAX(I1130,B1131)</f>
        <v>0</v>
      </c>
      <c r="J1131" s="17">
        <f>B1131/I1131-1</f>
        <v>0</v>
      </c>
    </row>
    <row r="1132" spans="1:10">
      <c r="A1132" s="6">
        <v>45861</v>
      </c>
      <c r="B1132" s="14">
        <v>43576131.14008056</v>
      </c>
      <c r="D1132" s="17">
        <f>B1132/B1131-1</f>
        <v>0</v>
      </c>
      <c r="E1132" s="14">
        <v>21135364.30240954</v>
      </c>
      <c r="F1132" s="17">
        <f>E1132/E1131-1</f>
        <v>0</v>
      </c>
      <c r="G1132" s="14">
        <v>28291022.66752666</v>
      </c>
      <c r="H1132" s="17">
        <f>G1132/G1131-1</f>
        <v>0</v>
      </c>
      <c r="I1132" s="14">
        <f>MAX(I1131,B1132)</f>
        <v>0</v>
      </c>
      <c r="J1132" s="17">
        <f>B1132/I1132-1</f>
        <v>0</v>
      </c>
    </row>
    <row r="1133" spans="1:10">
      <c r="A1133" s="6">
        <v>45862</v>
      </c>
      <c r="B1133" s="14">
        <v>43604201.36501762</v>
      </c>
      <c r="D1133" s="17">
        <f>B1133/B1132-1</f>
        <v>0</v>
      </c>
      <c r="E1133" s="14">
        <v>21021529.42997831</v>
      </c>
      <c r="F1133" s="17">
        <f>E1133/E1132-1</f>
        <v>0</v>
      </c>
      <c r="G1133" s="14">
        <v>28217583.89166149</v>
      </c>
      <c r="H1133" s="17">
        <f>G1133/G1132-1</f>
        <v>0</v>
      </c>
      <c r="I1133" s="14">
        <f>MAX(I1132,B1133)</f>
        <v>0</v>
      </c>
      <c r="J1133" s="17">
        <f>B1133/I1133-1</f>
        <v>0</v>
      </c>
    </row>
    <row r="1134" spans="1:10">
      <c r="A1134" s="6">
        <v>45863</v>
      </c>
      <c r="B1134" s="14">
        <v>43521951.42368611</v>
      </c>
      <c r="D1134" s="17">
        <f>B1134/B1133-1</f>
        <v>0</v>
      </c>
      <c r="E1134" s="14">
        <v>20764240.53144779</v>
      </c>
      <c r="F1134" s="17">
        <f>E1134/E1133-1</f>
        <v>0</v>
      </c>
      <c r="G1134" s="14">
        <v>27753201.744945</v>
      </c>
      <c r="H1134" s="17">
        <f>G1134/G1133-1</f>
        <v>0</v>
      </c>
      <c r="I1134" s="14">
        <f>MAX(I1133,B1134)</f>
        <v>0</v>
      </c>
      <c r="J1134" s="17">
        <f>B1134/I1134-1</f>
        <v>0</v>
      </c>
    </row>
    <row r="1135" spans="1:10">
      <c r="A1135" s="6">
        <v>45866</v>
      </c>
      <c r="B1135" s="14">
        <v>42593214.48243127</v>
      </c>
      <c r="D1135" s="17">
        <f>B1135/B1134-1</f>
        <v>0</v>
      </c>
      <c r="E1135" s="14">
        <v>20613791.53002592</v>
      </c>
      <c r="F1135" s="17">
        <f>E1135/E1134-1</f>
        <v>0</v>
      </c>
      <c r="G1135" s="14">
        <v>27505907.92372718</v>
      </c>
      <c r="H1135" s="17">
        <f>G1135/G1134-1</f>
        <v>0</v>
      </c>
      <c r="I1135" s="14">
        <f>MAX(I1134,B1135)</f>
        <v>0</v>
      </c>
      <c r="J1135" s="17">
        <f>B1135/I1135-1</f>
        <v>0</v>
      </c>
    </row>
    <row r="1136" spans="1:10">
      <c r="A1136" s="6">
        <v>45867</v>
      </c>
      <c r="B1136" s="14">
        <v>43110659.37002347</v>
      </c>
      <c r="D1136" s="17">
        <f>B1136/B1135-1</f>
        <v>0</v>
      </c>
      <c r="E1136" s="14">
        <v>20759495.3154869</v>
      </c>
      <c r="F1136" s="17">
        <f>E1136/E1135-1</f>
        <v>0</v>
      </c>
      <c r="G1136" s="14">
        <v>27731205.32209025</v>
      </c>
      <c r="H1136" s="17">
        <f>G1136/G1135-1</f>
        <v>0</v>
      </c>
      <c r="I1136" s="14">
        <f>MAX(I1135,B1136)</f>
        <v>0</v>
      </c>
      <c r="J1136" s="17">
        <f>B1136/I1136-1</f>
        <v>0</v>
      </c>
    </row>
    <row r="1137" spans="1:10">
      <c r="A1137" s="6">
        <v>45868</v>
      </c>
      <c r="B1137" s="14">
        <v>43281076.16254977</v>
      </c>
      <c r="D1137" s="17">
        <f>B1137/B1136-1</f>
        <v>0</v>
      </c>
      <c r="E1137" s="14">
        <v>20784125.1389983</v>
      </c>
      <c r="F1137" s="17">
        <f>E1137/E1136-1</f>
        <v>0</v>
      </c>
      <c r="G1137" s="14">
        <v>27771141.28249093</v>
      </c>
      <c r="H1137" s="17">
        <f>G1137/G1136-1</f>
        <v>0</v>
      </c>
      <c r="I1137" s="14">
        <f>MAX(I1136,B1137)</f>
        <v>0</v>
      </c>
      <c r="J1137" s="17">
        <f>B1137/I1137-1</f>
        <v>0</v>
      </c>
    </row>
    <row r="1138" spans="1:10">
      <c r="A1138" s="6">
        <v>45869</v>
      </c>
      <c r="B1138" s="14">
        <v>43218773.70770531</v>
      </c>
      <c r="D1138" s="17">
        <f>B1138/B1137-1</f>
        <v>0</v>
      </c>
      <c r="E1138" s="14">
        <v>20678095.76609098</v>
      </c>
      <c r="F1138" s="17">
        <f>E1138/E1137-1</f>
        <v>0</v>
      </c>
      <c r="G1138" s="14">
        <v>27545825.60391603</v>
      </c>
      <c r="H1138" s="17">
        <f>G1138/G1137-1</f>
        <v>0</v>
      </c>
      <c r="I1138" s="14">
        <f>MAX(I1137,B1138)</f>
        <v>0</v>
      </c>
      <c r="J1138" s="17">
        <f>B1138/I1138-1</f>
        <v>0</v>
      </c>
    </row>
    <row r="1139" spans="1:10">
      <c r="A1139" s="6">
        <v>45870</v>
      </c>
      <c r="B1139" s="14">
        <v>42753059.0267415</v>
      </c>
      <c r="D1139" s="17">
        <f>B1139/B1138-1</f>
        <v>0</v>
      </c>
      <c r="E1139" s="14">
        <v>20461336.106812</v>
      </c>
      <c r="F1139" s="17">
        <f>E1139/E1138-1</f>
        <v>0</v>
      </c>
      <c r="G1139" s="14">
        <v>27157933.78175411</v>
      </c>
      <c r="H1139" s="17">
        <f>G1139/G1138-1</f>
        <v>0</v>
      </c>
      <c r="I1139" s="14">
        <f>MAX(I1138,B1139)</f>
        <v>0</v>
      </c>
      <c r="J1139" s="17">
        <f>B1139/I1139-1</f>
        <v>0</v>
      </c>
    </row>
    <row r="1140" spans="1:10">
      <c r="A1140" s="6">
        <v>45873</v>
      </c>
      <c r="B1140" s="14">
        <v>42557217.93496747</v>
      </c>
      <c r="D1140" s="17">
        <f>B1140/B1139-1</f>
        <v>0</v>
      </c>
      <c r="E1140" s="14">
        <v>20630838.87800203</v>
      </c>
      <c r="F1140" s="17">
        <f>E1140/E1139-1</f>
        <v>0</v>
      </c>
      <c r="G1140" s="14">
        <v>27404186.27465405</v>
      </c>
      <c r="H1140" s="17">
        <f>G1140/G1139-1</f>
        <v>0</v>
      </c>
      <c r="I1140" s="14">
        <f>MAX(I1139,B1140)</f>
        <v>0</v>
      </c>
      <c r="J1140" s="17">
        <f>B1140/I1140-1</f>
        <v>0</v>
      </c>
    </row>
    <row r="1141" spans="1:10">
      <c r="A1141" s="6">
        <v>45874</v>
      </c>
      <c r="B1141" s="14">
        <v>42598780.1050505</v>
      </c>
      <c r="D1141" s="17">
        <f>B1141/B1140-1</f>
        <v>0</v>
      </c>
      <c r="E1141" s="14">
        <v>20575958.01725901</v>
      </c>
      <c r="F1141" s="17">
        <f>E1141/E1140-1</f>
        <v>0</v>
      </c>
      <c r="G1141" s="14">
        <v>27359895.22528778</v>
      </c>
      <c r="H1141" s="17">
        <f>G1141/G1140-1</f>
        <v>0</v>
      </c>
      <c r="I1141" s="14">
        <f>MAX(I1140,B1141)</f>
        <v>0</v>
      </c>
      <c r="J1141" s="17">
        <f>B1141/I1141-1</f>
        <v>0</v>
      </c>
    </row>
    <row r="1142" spans="1:10">
      <c r="A1142" s="6">
        <v>45875</v>
      </c>
      <c r="B1142" s="14">
        <v>42001245.45420606</v>
      </c>
      <c r="D1142" s="17">
        <f>B1142/B1141-1</f>
        <v>0</v>
      </c>
      <c r="E1142" s="14">
        <v>20458121.54693836</v>
      </c>
      <c r="F1142" s="17">
        <f>E1142/E1141-1</f>
        <v>0</v>
      </c>
      <c r="G1142" s="14">
        <v>27082304.90870029</v>
      </c>
      <c r="H1142" s="17">
        <f>G1142/G1141-1</f>
        <v>0</v>
      </c>
      <c r="I1142" s="14">
        <f>MAX(I1141,B1142)</f>
        <v>0</v>
      </c>
      <c r="J1142" s="17">
        <f>B1142/I1142-1</f>
        <v>0</v>
      </c>
    </row>
    <row r="1143" spans="1:10">
      <c r="A1143" s="6">
        <v>45876</v>
      </c>
      <c r="B1143" s="14">
        <v>42086366.96828073</v>
      </c>
      <c r="D1143" s="17">
        <f>B1143/B1142-1</f>
        <v>0</v>
      </c>
      <c r="E1143" s="14">
        <v>20483690.41876445</v>
      </c>
      <c r="F1143" s="17">
        <f>E1143/E1142-1</f>
        <v>0</v>
      </c>
      <c r="G1143" s="14">
        <v>27093834.85243363</v>
      </c>
      <c r="H1143" s="17">
        <f>G1143/G1142-1</f>
        <v>0</v>
      </c>
      <c r="I1143" s="14">
        <f>MAX(I1142,B1143)</f>
        <v>0</v>
      </c>
      <c r="J1143" s="17">
        <f>B1143/I1143-1</f>
        <v>0</v>
      </c>
    </row>
    <row r="1144" spans="1:10">
      <c r="A1144" s="6">
        <v>45877</v>
      </c>
      <c r="B1144" s="14">
        <v>41478927.95284839</v>
      </c>
      <c r="D1144" s="17">
        <f>B1144/B1143-1</f>
        <v>0</v>
      </c>
      <c r="E1144" s="14">
        <v>20258159.11075057</v>
      </c>
      <c r="F1144" s="17">
        <f>E1144/E1143-1</f>
        <v>0</v>
      </c>
      <c r="G1144" s="14">
        <v>26740852.94620788</v>
      </c>
      <c r="H1144" s="17">
        <f>G1144/G1143-1</f>
        <v>0</v>
      </c>
      <c r="I1144" s="14">
        <f>MAX(I1143,B1144)</f>
        <v>0</v>
      </c>
      <c r="J1144" s="17">
        <f>B1144/I1144-1</f>
        <v>0</v>
      </c>
    </row>
    <row r="1145" spans="1:10">
      <c r="A1145" s="6">
        <v>45880</v>
      </c>
      <c r="B1145" s="14">
        <v>41960528.96394093</v>
      </c>
      <c r="D1145" s="17">
        <f>B1145/B1144-1</f>
        <v>0</v>
      </c>
      <c r="E1145" s="14">
        <v>20430895.74533138</v>
      </c>
      <c r="F1145" s="17">
        <f>E1145/E1144-1</f>
        <v>0</v>
      </c>
      <c r="G1145" s="14">
        <v>26890297.74394012</v>
      </c>
      <c r="H1145" s="17">
        <f>G1145/G1144-1</f>
        <v>0</v>
      </c>
      <c r="I1145" s="14">
        <f>MAX(I1144,B1145)</f>
        <v>0</v>
      </c>
      <c r="J1145" s="17">
        <f>B1145/I1145-1</f>
        <v>0</v>
      </c>
    </row>
    <row r="1146" spans="1:10">
      <c r="A1146" s="6">
        <v>45881</v>
      </c>
      <c r="B1146" s="14">
        <v>41810367.42279162</v>
      </c>
      <c r="D1146" s="17">
        <f>B1146/B1145-1</f>
        <v>0</v>
      </c>
      <c r="E1146" s="14">
        <v>20373329.81635988</v>
      </c>
      <c r="F1146" s="17">
        <f>E1146/E1145-1</f>
        <v>0</v>
      </c>
      <c r="G1146" s="14">
        <v>26845233.29580245</v>
      </c>
      <c r="H1146" s="17">
        <f>G1146/G1145-1</f>
        <v>0</v>
      </c>
      <c r="I1146" s="14">
        <f>MAX(I1145,B1146)</f>
        <v>0</v>
      </c>
      <c r="J1146" s="17">
        <f>B1146/I1146-1</f>
        <v>0</v>
      </c>
    </row>
    <row r="1147" spans="1:10">
      <c r="A1147" s="6">
        <v>45882</v>
      </c>
      <c r="B1147" s="14">
        <v>41973773.81297783</v>
      </c>
      <c r="D1147" s="17">
        <f>B1147/B1146-1</f>
        <v>0</v>
      </c>
      <c r="E1147" s="14">
        <v>20491203.38305971</v>
      </c>
      <c r="F1147" s="17">
        <f>E1147/E1146-1</f>
        <v>0</v>
      </c>
      <c r="G1147" s="14">
        <v>26988470.75974646</v>
      </c>
      <c r="H1147" s="17">
        <f>G1147/G1146-1</f>
        <v>0</v>
      </c>
      <c r="I1147" s="14">
        <f>MAX(I1146,B1147)</f>
        <v>0</v>
      </c>
      <c r="J1147" s="17">
        <f>B1147/I1147-1</f>
        <v>0</v>
      </c>
    </row>
    <row r="1148" spans="1:10">
      <c r="A1148" s="6">
        <v>45883</v>
      </c>
      <c r="B1148" s="14">
        <v>42115445.34217402</v>
      </c>
      <c r="D1148" s="17">
        <f>B1148/B1147-1</f>
        <v>0</v>
      </c>
      <c r="E1148" s="14">
        <v>20476065.03133924</v>
      </c>
      <c r="F1148" s="17">
        <f>E1148/E1147-1</f>
        <v>0</v>
      </c>
      <c r="G1148" s="14">
        <v>26928542.84255803</v>
      </c>
      <c r="H1148" s="17">
        <f>G1148/G1147-1</f>
        <v>0</v>
      </c>
      <c r="I1148" s="14">
        <f>MAX(I1147,B1148)</f>
        <v>0</v>
      </c>
      <c r="J1148" s="17">
        <f>B1148/I1148-1</f>
        <v>0</v>
      </c>
    </row>
    <row r="1149" spans="1:10">
      <c r="A1149" s="6">
        <v>45887</v>
      </c>
      <c r="B1149" s="14">
        <v>42642864.09634934</v>
      </c>
      <c r="D1149" s="17">
        <f>B1149/B1148-1</f>
        <v>0</v>
      </c>
      <c r="E1149" s="14">
        <v>20703872.29682884</v>
      </c>
      <c r="F1149" s="17">
        <f>E1149/E1148-1</f>
        <v>0</v>
      </c>
      <c r="G1149" s="14">
        <v>27289605.3690377</v>
      </c>
      <c r="H1149" s="17">
        <f>G1149/G1148-1</f>
        <v>0</v>
      </c>
      <c r="I1149" s="14">
        <f>MAX(I1148,B1149)</f>
        <v>0</v>
      </c>
      <c r="J1149" s="17">
        <f>B1149/I1149-1</f>
        <v>0</v>
      </c>
    </row>
    <row r="1150" spans="1:10">
      <c r="A1150" s="6">
        <v>45888</v>
      </c>
      <c r="B1150" s="14">
        <v>42569490.51146359</v>
      </c>
      <c r="D1150" s="17">
        <f>B1150/B1149-1</f>
        <v>0</v>
      </c>
      <c r="E1150" s="14">
        <v>20826833.86477905</v>
      </c>
      <c r="F1150" s="17">
        <f>E1150/E1149-1</f>
        <v>0</v>
      </c>
      <c r="G1150" s="14">
        <v>27514089.37661747</v>
      </c>
      <c r="H1150" s="17">
        <f>G1150/G1149-1</f>
        <v>0</v>
      </c>
      <c r="I1150" s="14">
        <f>MAX(I1149,B1150)</f>
        <v>0</v>
      </c>
      <c r="J1150" s="17">
        <f>B1150/I1150-1</f>
        <v>0</v>
      </c>
    </row>
    <row r="1151" spans="1:10">
      <c r="A1151" s="6">
        <v>45889</v>
      </c>
      <c r="B1151" s="14">
        <v>42589568.82991681</v>
      </c>
      <c r="D1151" s="17">
        <f>B1151/B1150-1</f>
        <v>0</v>
      </c>
      <c r="E1151" s="14">
        <v>20896943.32273903</v>
      </c>
      <c r="F1151" s="17">
        <f>E1151/E1150-1</f>
        <v>0</v>
      </c>
      <c r="G1151" s="14">
        <v>27622752.35552489</v>
      </c>
      <c r="H1151" s="17">
        <f>G1151/G1150-1</f>
        <v>0</v>
      </c>
      <c r="I1151" s="14">
        <f>MAX(I1150,B1151)</f>
        <v>0</v>
      </c>
      <c r="J1151" s="17">
        <f>B1151/I1151-1</f>
        <v>0</v>
      </c>
    </row>
    <row r="1152" spans="1:10">
      <c r="A1152" s="6">
        <v>45890</v>
      </c>
      <c r="B1152" s="14">
        <v>42696418.27539297</v>
      </c>
      <c r="D1152" s="17">
        <f>B1152/B1151-1</f>
        <v>0</v>
      </c>
      <c r="E1152" s="14">
        <v>20892520.7578798</v>
      </c>
      <c r="F1152" s="17">
        <f>E1152/E1151-1</f>
        <v>0</v>
      </c>
      <c r="G1152" s="14">
        <v>27597673.18249016</v>
      </c>
      <c r="H1152" s="17">
        <f>G1152/G1151-1</f>
        <v>0</v>
      </c>
      <c r="I1152" s="14">
        <f>MAX(I1151,B1152)</f>
        <v>0</v>
      </c>
      <c r="J1152" s="17">
        <f>B1152/I1152-1</f>
        <v>0</v>
      </c>
    </row>
    <row r="1153" spans="1:10">
      <c r="A1153" s="6">
        <v>45891</v>
      </c>
      <c r="B1153" s="14">
        <v>42411110.47176824</v>
      </c>
      <c r="D1153" s="17">
        <f>B1153/B1152-1</f>
        <v>0</v>
      </c>
      <c r="E1153" s="14">
        <v>20761815.49784333</v>
      </c>
      <c r="F1153" s="17">
        <f>E1153/E1152-1</f>
        <v>0</v>
      </c>
      <c r="G1153" s="14">
        <v>27485535.21779775</v>
      </c>
      <c r="H1153" s="17">
        <f>G1153/G1152-1</f>
        <v>0</v>
      </c>
      <c r="I1153" s="14">
        <f>MAX(I1152,B1153)</f>
        <v>0</v>
      </c>
      <c r="J1153" s="17">
        <f>B1153/I1153-1</f>
        <v>0</v>
      </c>
    </row>
    <row r="1154" spans="1:10">
      <c r="A1154" s="6">
        <v>45894</v>
      </c>
      <c r="B1154" s="14">
        <v>42304852.23474705</v>
      </c>
      <c r="D1154" s="17">
        <f>B1154/B1153-1</f>
        <v>0</v>
      </c>
      <c r="E1154" s="14">
        <v>20817617.32147506</v>
      </c>
      <c r="F1154" s="17">
        <f>E1154/E1153-1</f>
        <v>0</v>
      </c>
      <c r="G1154" s="14">
        <v>27522448.27601366</v>
      </c>
      <c r="H1154" s="17">
        <f>G1154/G1153-1</f>
        <v>0</v>
      </c>
      <c r="I1154" s="14">
        <f>MAX(I1153,B1154)</f>
        <v>0</v>
      </c>
      <c r="J1154" s="17">
        <f>B1154/I1154-1</f>
        <v>0</v>
      </c>
    </row>
    <row r="1155" spans="1:10">
      <c r="A1155" s="6">
        <v>45895</v>
      </c>
      <c r="B1155" s="14">
        <v>41805735.39044898</v>
      </c>
      <c r="D1155" s="17">
        <f>B1155/B1154-1</f>
        <v>0</v>
      </c>
      <c r="E1155" s="14">
        <v>20562723.51875816</v>
      </c>
      <c r="F1155" s="17">
        <f>E1155/E1154-1</f>
        <v>0</v>
      </c>
      <c r="G1155" s="14">
        <v>27090849.40653647</v>
      </c>
      <c r="H1155" s="17">
        <f>G1155/G1154-1</f>
        <v>0</v>
      </c>
      <c r="I1155" s="14">
        <f>MAX(I1154,B1155)</f>
        <v>0</v>
      </c>
      <c r="J1155" s="17">
        <f>B1155/I1155-1</f>
        <v>0</v>
      </c>
    </row>
    <row r="1156" spans="1:10">
      <c r="A1156" s="6">
        <v>45897</v>
      </c>
      <c r="B1156" s="14">
        <v>41238678.61751873</v>
      </c>
      <c r="D1156" s="17">
        <f>B1156/B1155-1</f>
        <v>0</v>
      </c>
      <c r="E1156" s="14">
        <v>20358695.45327301</v>
      </c>
      <c r="F1156" s="17">
        <f>E1156/E1155-1</f>
        <v>0</v>
      </c>
      <c r="G1156" s="14">
        <v>26808936.69764285</v>
      </c>
      <c r="H1156" s="17">
        <f>G1156/G1155-1</f>
        <v>0</v>
      </c>
      <c r="I1156" s="14">
        <f>MAX(I1155,B1156)</f>
        <v>0</v>
      </c>
      <c r="J1156" s="17">
        <f>B1156/I1156-1</f>
        <v>0</v>
      </c>
    </row>
    <row r="1157" spans="1:10">
      <c r="A1157" s="6">
        <v>45898</v>
      </c>
      <c r="B1157" s="14">
        <v>41183366.96975262</v>
      </c>
      <c r="D1157" s="17">
        <f>B1157/B1156-1</f>
        <v>0</v>
      </c>
      <c r="E1157" s="14">
        <v>20288585.23968225</v>
      </c>
      <c r="F1157" s="17">
        <f>E1157/E1156-1</f>
        <v>0</v>
      </c>
      <c r="G1157" s="14">
        <v>26720011.33149367</v>
      </c>
      <c r="H1157" s="17">
        <f>G1157/G1156-1</f>
        <v>0</v>
      </c>
      <c r="I1157" s="14">
        <f>MAX(I1156,B1157)</f>
        <v>0</v>
      </c>
      <c r="J1157" s="17">
        <f>B1157/I1157-1</f>
        <v>0</v>
      </c>
    </row>
    <row r="1158" spans="1:10">
      <c r="A1158" s="6">
        <v>45901</v>
      </c>
      <c r="B1158" s="14">
        <v>41383928.46961977</v>
      </c>
      <c r="D1158" s="17">
        <f>B1158/B1157-1</f>
        <v>0</v>
      </c>
      <c r="E1158" s="14">
        <v>20515895.24633091</v>
      </c>
      <c r="F1158" s="17">
        <f>E1158/E1157-1</f>
        <v>0</v>
      </c>
      <c r="G1158" s="14">
        <v>27079026.70111597</v>
      </c>
      <c r="H1158" s="17">
        <f>G1158/G1157-1</f>
        <v>0</v>
      </c>
      <c r="I1158" s="14">
        <f>MAX(I1157,B1158)</f>
        <v>0</v>
      </c>
      <c r="J1158" s="17">
        <f>B1158/I1158-1</f>
        <v>0</v>
      </c>
    </row>
    <row r="1159" spans="1:10">
      <c r="A1159" s="6">
        <v>45902</v>
      </c>
      <c r="B1159" s="14">
        <v>41042268.57697862</v>
      </c>
      <c r="D1159" s="17">
        <f>B1159/B1158-1</f>
        <v>0</v>
      </c>
      <c r="E1159" s="14">
        <v>20526672.04631136</v>
      </c>
      <c r="F1159" s="17">
        <f>E1159/E1158-1</f>
        <v>0</v>
      </c>
      <c r="G1159" s="14">
        <v>27221948.72391561</v>
      </c>
      <c r="H1159" s="17">
        <f>G1159/G1158-1</f>
        <v>0</v>
      </c>
      <c r="I1159" s="14">
        <f>MAX(I1158,B1159)</f>
        <v>0</v>
      </c>
      <c r="J1159" s="17">
        <f>B1159/I1159-1</f>
        <v>0</v>
      </c>
    </row>
    <row r="1160" spans="1:10">
      <c r="A1160" s="6">
        <v>45903</v>
      </c>
      <c r="B1160" s="14">
        <v>41652366.88021791</v>
      </c>
      <c r="D1160" s="17">
        <f>B1160/B1159-1</f>
        <v>0</v>
      </c>
      <c r="E1160" s="14">
        <v>20654335.61102893</v>
      </c>
      <c r="F1160" s="17">
        <f>E1160/E1159-1</f>
        <v>0</v>
      </c>
      <c r="G1160" s="14">
        <v>27411890.26185694</v>
      </c>
      <c r="H1160" s="17">
        <f>G1160/G1159-1</f>
        <v>0</v>
      </c>
      <c r="I1160" s="14">
        <f>MAX(I1159,B1160)</f>
        <v>0</v>
      </c>
      <c r="J1160" s="17">
        <f>B1160/I1160-1</f>
        <v>0</v>
      </c>
    </row>
    <row r="1161" spans="1:10">
      <c r="A1161" s="6">
        <v>45904</v>
      </c>
      <c r="B1161" s="14">
        <v>41522869.62138885</v>
      </c>
      <c r="D1161" s="17">
        <f>B1161/B1160-1</f>
        <v>0</v>
      </c>
      <c r="E1161" s="14">
        <v>20614669.27922262</v>
      </c>
      <c r="F1161" s="17">
        <f>E1161/E1160-1</f>
        <v>0</v>
      </c>
      <c r="G1161" s="14">
        <v>27259588.21358397</v>
      </c>
      <c r="H1161" s="17">
        <f>G1161/G1160-1</f>
        <v>0</v>
      </c>
      <c r="I1161" s="14">
        <f>MAX(I1160,B1161)</f>
        <v>0</v>
      </c>
      <c r="J1161" s="17">
        <f>B1161/I1161-1</f>
        <v>0</v>
      </c>
    </row>
    <row r="1162" spans="1:10">
      <c r="A1162" s="6">
        <v>45905</v>
      </c>
      <c r="B1162" s="14">
        <v>41303869.65028127</v>
      </c>
      <c r="D1162" s="17">
        <f>B1162/B1161-1</f>
        <v>0</v>
      </c>
      <c r="E1162" s="14">
        <v>20624232.97915547</v>
      </c>
      <c r="F1162" s="17">
        <f>E1162/E1161-1</f>
        <v>0</v>
      </c>
      <c r="G1162" s="14">
        <v>27241319.31664712</v>
      </c>
      <c r="H1162" s="17">
        <f>G1162/G1161-1</f>
        <v>0</v>
      </c>
      <c r="I1162" s="14">
        <f>MAX(I1161,B1162)</f>
        <v>0</v>
      </c>
      <c r="J1162" s="17">
        <f>B1162/I1162-1</f>
        <v>0</v>
      </c>
    </row>
    <row r="1163" spans="1:10">
      <c r="A1163" s="6">
        <v>45908</v>
      </c>
      <c r="B1163" s="14">
        <v>41234213.92871746</v>
      </c>
      <c r="D1163" s="17">
        <f>B1163/B1162-1</f>
        <v>0</v>
      </c>
      <c r="E1163" s="14">
        <v>20669934.20621722</v>
      </c>
      <c r="F1163" s="17">
        <f>E1163/E1162-1</f>
        <v>0</v>
      </c>
      <c r="G1163" s="14">
        <v>27322552.75475782</v>
      </c>
      <c r="H1163" s="17">
        <f>G1163/G1162-1</f>
        <v>0</v>
      </c>
      <c r="I1163" s="14">
        <f>MAX(I1162,B1163)</f>
        <v>0</v>
      </c>
      <c r="J1163" s="17">
        <f>B1163/I1163-1</f>
        <v>0</v>
      </c>
    </row>
    <row r="1164" spans="1:10">
      <c r="A1164" s="6">
        <v>45909</v>
      </c>
      <c r="B1164" s="14">
        <v>41498649.58223692</v>
      </c>
      <c r="D1164" s="17">
        <f>B1164/B1163-1</f>
        <v>0</v>
      </c>
      <c r="E1164" s="14">
        <v>20734566.50524959</v>
      </c>
      <c r="F1164" s="17">
        <f>E1164/E1163-1</f>
        <v>0</v>
      </c>
      <c r="G1164" s="14">
        <v>27393101.58469452</v>
      </c>
      <c r="H1164" s="17">
        <f>G1164/G1163-1</f>
        <v>0</v>
      </c>
      <c r="I1164" s="14">
        <f>MAX(I1163,B1164)</f>
        <v>0</v>
      </c>
      <c r="J1164" s="17">
        <f>B1164/I1164-1</f>
        <v>0</v>
      </c>
    </row>
    <row r="1165" spans="1:10">
      <c r="A1165" s="6">
        <v>45910</v>
      </c>
      <c r="B1165" s="14">
        <v>41874431.68143865</v>
      </c>
      <c r="D1165" s="17">
        <f>B1165/B1164-1</f>
        <v>0</v>
      </c>
      <c r="E1165" s="14">
        <v>20848537.54616103</v>
      </c>
      <c r="F1165" s="17">
        <f>E1165/E1164-1</f>
        <v>0</v>
      </c>
      <c r="G1165" s="14">
        <v>27607655.73604244</v>
      </c>
      <c r="H1165" s="17">
        <f>G1165/G1164-1</f>
        <v>0</v>
      </c>
      <c r="I1165" s="14">
        <f>MAX(I1164,B1165)</f>
        <v>0</v>
      </c>
      <c r="J1165" s="17">
        <f>B1165/I1165-1</f>
        <v>0</v>
      </c>
    </row>
    <row r="1166" spans="1:10">
      <c r="A1166" s="6">
        <v>45911</v>
      </c>
      <c r="B1166" s="14">
        <v>41833258.77611061</v>
      </c>
      <c r="D1166" s="17">
        <f>B1166/B1165-1</f>
        <v>0</v>
      </c>
      <c r="E1166" s="14">
        <v>20875281.37151323</v>
      </c>
      <c r="F1166" s="17">
        <f>E1166/E1165-1</f>
        <v>0</v>
      </c>
      <c r="G1166" s="14">
        <v>27646901.92057451</v>
      </c>
      <c r="H1166" s="17">
        <f>G1166/G1165-1</f>
        <v>0</v>
      </c>
      <c r="I1166" s="14">
        <f>MAX(I1165,B1166)</f>
        <v>0</v>
      </c>
      <c r="J1166" s="17">
        <f>B1166/I1166-1</f>
        <v>0</v>
      </c>
    </row>
    <row r="1167" spans="1:10">
      <c r="A1167" s="6">
        <v>45912</v>
      </c>
      <c r="B1167" s="14">
        <v>41938146.18698798</v>
      </c>
      <c r="D1167" s="17">
        <f>B1167/B1166-1</f>
        <v>0</v>
      </c>
      <c r="E1167" s="14">
        <v>20955429.40243559</v>
      </c>
      <c r="F1167" s="17">
        <f>E1167/E1166-1</f>
        <v>0</v>
      </c>
      <c r="G1167" s="14">
        <v>27746348.22286066</v>
      </c>
      <c r="H1167" s="17">
        <f>G1167/G1166-1</f>
        <v>0</v>
      </c>
      <c r="I1167" s="14">
        <f>MAX(I1166,B1167)</f>
        <v>0</v>
      </c>
      <c r="J1167" s="17">
        <f>B1167/I1167-1</f>
        <v>0</v>
      </c>
    </row>
    <row r="1168" spans="1:10">
      <c r="A1168" s="6">
        <v>45915</v>
      </c>
      <c r="B1168" s="14">
        <v>42352322.41519778</v>
      </c>
      <c r="D1168" s="17">
        <f>B1168/B1167-1</f>
        <v>0</v>
      </c>
      <c r="E1168" s="14">
        <v>20979559.88131284</v>
      </c>
      <c r="F1168" s="17">
        <f>E1168/E1167-1</f>
        <v>0</v>
      </c>
      <c r="G1168" s="14">
        <v>27887002.85146634</v>
      </c>
      <c r="H1168" s="17">
        <f>G1168/G1167-1</f>
        <v>0</v>
      </c>
      <c r="I1168" s="14">
        <f>MAX(I1167,B1168)</f>
        <v>0</v>
      </c>
      <c r="J1168" s="17">
        <f>B1168/I1168-1</f>
        <v>0</v>
      </c>
    </row>
    <row r="1169" spans="1:10">
      <c r="A1169" s="6">
        <v>45916</v>
      </c>
      <c r="B1169" s="14">
        <v>42652078.32689292</v>
      </c>
      <c r="D1169" s="17">
        <f>B1169/B1168-1</f>
        <v>0</v>
      </c>
      <c r="E1169" s="14">
        <v>21119228.74359809</v>
      </c>
      <c r="F1169" s="17">
        <f>E1169/E1168-1</f>
        <v>0</v>
      </c>
      <c r="G1169" s="14">
        <v>28052805.27723237</v>
      </c>
      <c r="H1169" s="17">
        <f>G1169/G1168-1</f>
        <v>0</v>
      </c>
      <c r="I1169" s="14">
        <f>MAX(I1168,B1169)</f>
        <v>0</v>
      </c>
      <c r="J1169" s="17">
        <f>B1169/I1169-1</f>
        <v>0</v>
      </c>
    </row>
    <row r="1170" spans="1:10">
      <c r="A1170" s="6">
        <v>45917</v>
      </c>
      <c r="B1170" s="14">
        <v>42786788.2582757</v>
      </c>
      <c r="D1170" s="17">
        <f>B1170/B1169-1</f>
        <v>0</v>
      </c>
      <c r="E1170" s="14">
        <v>21188825.1110478</v>
      </c>
      <c r="F1170" s="17">
        <f>E1170/E1169-1</f>
        <v>0</v>
      </c>
      <c r="G1170" s="14">
        <v>28148744.95840495</v>
      </c>
      <c r="H1170" s="17">
        <f>G1170/G1169-1</f>
        <v>0</v>
      </c>
      <c r="I1170" s="14">
        <f>MAX(I1169,B1170)</f>
        <v>0</v>
      </c>
      <c r="J1170" s="17">
        <f>B1170/I1170-1</f>
        <v>0</v>
      </c>
    </row>
    <row r="1171" spans="1:10">
      <c r="A1171" s="6">
        <v>45918</v>
      </c>
      <c r="B1171" s="14">
        <v>42817263.50041825</v>
      </c>
      <c r="D1171" s="17">
        <f>B1171/B1170-1</f>
        <v>0</v>
      </c>
      <c r="E1171" s="14">
        <v>21256442.24824106</v>
      </c>
      <c r="F1171" s="17">
        <f>E1171/E1170-1</f>
        <v>0</v>
      </c>
      <c r="G1171" s="14">
        <v>28200700.27108014</v>
      </c>
      <c r="H1171" s="17">
        <f>G1171/G1170-1</f>
        <v>0</v>
      </c>
      <c r="I1171" s="14">
        <f>MAX(I1170,B1171)</f>
        <v>0</v>
      </c>
      <c r="J1171" s="17">
        <f>B1171/I1171-1</f>
        <v>0</v>
      </c>
    </row>
    <row r="1172" spans="1:10">
      <c r="A1172" s="6">
        <v>45919</v>
      </c>
      <c r="B1172" s="14">
        <v>42505473.12339353</v>
      </c>
      <c r="D1172" s="17">
        <f>B1172/B1171-1</f>
        <v>0</v>
      </c>
      <c r="E1172" s="14">
        <v>21228306.82739933</v>
      </c>
      <c r="F1172" s="17">
        <f>E1172/E1171-1</f>
        <v>0</v>
      </c>
      <c r="G1172" s="14">
        <v>28233963.40356409</v>
      </c>
      <c r="H1172" s="17">
        <f>G1172/G1171-1</f>
        <v>0</v>
      </c>
      <c r="I1172" s="14">
        <f>MAX(I1171,B1172)</f>
        <v>0</v>
      </c>
      <c r="J1172" s="17">
        <f>B1172/I1172-1</f>
        <v>0</v>
      </c>
    </row>
    <row r="1173" spans="1:10">
      <c r="A1173" s="6">
        <v>45922</v>
      </c>
      <c r="B1173" s="14">
        <v>42377079.15576278</v>
      </c>
      <c r="D1173" s="17">
        <f>B1173/B1172-1</f>
        <v>0</v>
      </c>
      <c r="E1173" s="14">
        <v>21134232.07740527</v>
      </c>
      <c r="F1173" s="17">
        <f>E1173/E1172-1</f>
        <v>0</v>
      </c>
      <c r="G1173" s="14">
        <v>28139297.86929052</v>
      </c>
      <c r="H1173" s="17">
        <f>G1173/G1172-1</f>
        <v>0</v>
      </c>
      <c r="I1173" s="14">
        <f>MAX(I1172,B1173)</f>
        <v>0</v>
      </c>
      <c r="J1173" s="17">
        <f>B1173/I1173-1</f>
        <v>0</v>
      </c>
    </row>
    <row r="1174" spans="1:10">
      <c r="A1174" s="6">
        <v>45923</v>
      </c>
      <c r="B1174" s="14">
        <v>42262128.98956741</v>
      </c>
      <c r="D1174" s="17">
        <f>B1174/B1173-1</f>
        <v>0</v>
      </c>
      <c r="E1174" s="14">
        <v>21084440.62020298</v>
      </c>
      <c r="F1174" s="17">
        <f>E1174/E1173-1</f>
        <v>0</v>
      </c>
      <c r="G1174" s="14">
        <v>28021744.55180117</v>
      </c>
      <c r="H1174" s="17">
        <f>G1174/G1173-1</f>
        <v>0</v>
      </c>
      <c r="I1174" s="14">
        <f>MAX(I1173,B1174)</f>
        <v>0</v>
      </c>
      <c r="J1174" s="17">
        <f>B1174/I1174-1</f>
        <v>0</v>
      </c>
    </row>
    <row r="1175" spans="1:10">
      <c r="A1175" s="6">
        <v>45924</v>
      </c>
      <c r="B1175" s="14">
        <v>42068683.95493086</v>
      </c>
      <c r="D1175" s="17">
        <f>B1175/B1174-1</f>
        <v>0</v>
      </c>
      <c r="E1175" s="14">
        <v>20952566.6325389</v>
      </c>
      <c r="F1175" s="17">
        <f>E1175/E1174-1</f>
        <v>0</v>
      </c>
      <c r="G1175" s="14">
        <v>27814692.10067444</v>
      </c>
      <c r="H1175" s="17">
        <f>G1175/G1174-1</f>
        <v>0</v>
      </c>
      <c r="I1175" s="14">
        <f>MAX(I1174,B1175)</f>
        <v>0</v>
      </c>
      <c r="J1175" s="17">
        <f>B1175/I1175-1</f>
        <v>0</v>
      </c>
    </row>
    <row r="1176" spans="1:10">
      <c r="A1176" s="6">
        <v>45925</v>
      </c>
      <c r="B1176" s="14">
        <v>41830744.72806717</v>
      </c>
      <c r="D1176" s="17">
        <f>B1176/B1175-1</f>
        <v>0</v>
      </c>
      <c r="E1176" s="14">
        <v>20812680.16878366</v>
      </c>
      <c r="F1176" s="17">
        <f>E1176/E1175-1</f>
        <v>0</v>
      </c>
      <c r="G1176" s="14">
        <v>27633550.95324546</v>
      </c>
      <c r="H1176" s="17">
        <f>G1176/G1175-1</f>
        <v>0</v>
      </c>
      <c r="I1176" s="14">
        <f>MAX(I1175,B1176)</f>
        <v>0</v>
      </c>
      <c r="J1176" s="17">
        <f>B1176/I1176-1</f>
        <v>0</v>
      </c>
    </row>
    <row r="1177" spans="1:10">
      <c r="A1177" s="6">
        <v>45926</v>
      </c>
      <c r="B1177" s="14">
        <v>41282878.04372945</v>
      </c>
      <c r="D1177" s="17">
        <f>B1177/B1176-1</f>
        <v>0</v>
      </c>
      <c r="E1177" s="14">
        <v>20534103.46988985</v>
      </c>
      <c r="F1177" s="17">
        <f>E1177/E1176-1</f>
        <v>0</v>
      </c>
      <c r="G1177" s="14">
        <v>27118574.45065226</v>
      </c>
      <c r="H1177" s="17">
        <f>G1177/G1176-1</f>
        <v>0</v>
      </c>
      <c r="I1177" s="14">
        <f>MAX(I1176,B1177)</f>
        <v>0</v>
      </c>
      <c r="J1177" s="17">
        <f>B1177/I1177-1</f>
        <v>0</v>
      </c>
    </row>
    <row r="1178" spans="1:10">
      <c r="A1178" s="6">
        <v>45929</v>
      </c>
      <c r="B1178" s="14">
        <v>41474882.23295021</v>
      </c>
      <c r="D1178" s="17">
        <f>B1178/B1177-1</f>
        <v>0</v>
      </c>
      <c r="E1178" s="14">
        <v>20558540.99528407</v>
      </c>
      <c r="F1178" s="17">
        <f>E1178/E1177-1</f>
        <v>0</v>
      </c>
      <c r="G1178" s="14">
        <v>27176584.41772302</v>
      </c>
      <c r="H1178" s="17">
        <f>G1178/G1177-1</f>
        <v>0</v>
      </c>
      <c r="I1178" s="14">
        <f>MAX(I1177,B1178)</f>
        <v>0</v>
      </c>
      <c r="J1178" s="17">
        <f>B1178/I1178-1</f>
        <v>0</v>
      </c>
    </row>
    <row r="1179" spans="1:10">
      <c r="A1179" s="6">
        <v>45930</v>
      </c>
      <c r="B1179" s="14">
        <v>41416033.07314596</v>
      </c>
      <c r="D1179" s="17">
        <f>B1179/B1178-1</f>
        <v>0</v>
      </c>
      <c r="E1179" s="14">
        <v>20554999.44681209</v>
      </c>
      <c r="F1179" s="17">
        <f>E1179/E1178-1</f>
        <v>0</v>
      </c>
      <c r="G1179" s="14">
        <v>27231321.49905053</v>
      </c>
      <c r="H1179" s="17">
        <f>G1179/G1178-1</f>
        <v>0</v>
      </c>
      <c r="I1179" s="14">
        <f>MAX(I1178,B1179)</f>
        <v>0</v>
      </c>
      <c r="J1179" s="17">
        <f>B1179/I1179-1</f>
        <v>0</v>
      </c>
    </row>
    <row r="1180" spans="1:10">
      <c r="A1180" s="6">
        <v>45931</v>
      </c>
      <c r="B1180" s="14">
        <v>41626707.82920594</v>
      </c>
      <c r="D1180" s="17">
        <f>B1180/B1179-1</f>
        <v>0</v>
      </c>
      <c r="E1180" s="14">
        <v>20731564.93223029</v>
      </c>
      <c r="F1180" s="17">
        <f>E1180/E1179-1</f>
        <v>0</v>
      </c>
      <c r="G1180" s="14">
        <v>27484592.27529632</v>
      </c>
      <c r="H1180" s="17">
        <f>G1180/G1179-1</f>
        <v>0</v>
      </c>
      <c r="I1180" s="14">
        <f>MAX(I1179,B1180)</f>
        <v>0</v>
      </c>
      <c r="J1180" s="17">
        <f>B1180/I1180-1</f>
        <v>0</v>
      </c>
    </row>
    <row r="1181" spans="1:10">
      <c r="A1181" s="6">
        <v>45933</v>
      </c>
      <c r="B1181" s="14">
        <v>41837584.38809607</v>
      </c>
      <c r="D1181" s="17">
        <f>B1181/B1180-1</f>
        <v>0</v>
      </c>
      <c r="E1181" s="14">
        <v>20822427.3296684</v>
      </c>
      <c r="F1181" s="17">
        <f>E1181/E1180-1</f>
        <v>0</v>
      </c>
      <c r="G1181" s="14">
        <v>27674599.16051698</v>
      </c>
      <c r="H1181" s="17">
        <f>G1181/G1180-1</f>
        <v>0</v>
      </c>
      <c r="I1181" s="14">
        <f>MAX(I1180,B1181)</f>
        <v>0</v>
      </c>
      <c r="J1181" s="17">
        <f>B1181/I1181-1</f>
        <v>0</v>
      </c>
    </row>
    <row r="1182" spans="1:10">
      <c r="A1182" s="6">
        <v>45936</v>
      </c>
      <c r="B1182" s="14">
        <v>42535771.94434732</v>
      </c>
      <c r="D1182" s="17">
        <f>B1182/B1181-1</f>
        <v>0</v>
      </c>
      <c r="E1182" s="14">
        <v>20951775.94209723</v>
      </c>
      <c r="F1182" s="17">
        <f>E1182/E1181-1</f>
        <v>0</v>
      </c>
      <c r="G1182" s="14">
        <v>27776173.74762402</v>
      </c>
      <c r="H1182" s="17">
        <f>G1182/G1181-1</f>
        <v>0</v>
      </c>
      <c r="I1182" s="14">
        <f>MAX(I1181,B1182)</f>
        <v>0</v>
      </c>
      <c r="J1182" s="17">
        <f>B1182/I1182-1</f>
        <v>0</v>
      </c>
    </row>
    <row r="1183" spans="1:10">
      <c r="A1183" s="6">
        <v>45937</v>
      </c>
      <c r="B1183" s="14">
        <v>42655004.86573341</v>
      </c>
      <c r="D1183" s="17">
        <f>B1183/B1182-1</f>
        <v>0</v>
      </c>
      <c r="E1183" s="14">
        <v>20988808.72060368</v>
      </c>
      <c r="F1183" s="17">
        <f>E1183/E1182-1</f>
        <v>0</v>
      </c>
      <c r="G1183" s="14">
        <v>27813874.19156434</v>
      </c>
      <c r="H1183" s="17">
        <f>G1183/G1182-1</f>
        <v>0</v>
      </c>
      <c r="I1183" s="14">
        <f>MAX(I1182,B1183)</f>
        <v>0</v>
      </c>
      <c r="J1183" s="17">
        <f>B1183/I1183-1</f>
        <v>0</v>
      </c>
    </row>
    <row r="1184" spans="1:10">
      <c r="A1184" s="6">
        <v>45938</v>
      </c>
      <c r="B1184" s="14">
        <v>42858219.95951297</v>
      </c>
      <c r="D1184" s="17">
        <f>B1184/B1183-1</f>
        <v>0</v>
      </c>
      <c r="E1184" s="14">
        <v>20899240.21370419</v>
      </c>
      <c r="F1184" s="17">
        <f>E1184/E1183-1</f>
        <v>0</v>
      </c>
      <c r="G1184" s="14">
        <v>27622784.08770604</v>
      </c>
      <c r="H1184" s="17">
        <f>G1184/G1183-1</f>
        <v>0</v>
      </c>
      <c r="I1184" s="14">
        <f>MAX(I1183,B1184)</f>
        <v>0</v>
      </c>
      <c r="J1184" s="17">
        <f>B1184/I1184-1</f>
        <v>0</v>
      </c>
    </row>
    <row r="1185" spans="1:10">
      <c r="A1185" s="6">
        <v>45939</v>
      </c>
      <c r="B1185" s="14">
        <v>42897609.18655498</v>
      </c>
      <c r="D1185" s="17">
        <f>B1185/B1184-1</f>
        <v>0</v>
      </c>
      <c r="E1185" s="14">
        <v>21019973.42706613</v>
      </c>
      <c r="F1185" s="17">
        <f>E1185/E1184-1</f>
        <v>0</v>
      </c>
      <c r="G1185" s="14">
        <v>27774782.69051895</v>
      </c>
      <c r="H1185" s="17">
        <f>G1185/G1184-1</f>
        <v>0</v>
      </c>
      <c r="I1185" s="14">
        <f>MAX(I1184,B1185)</f>
        <v>0</v>
      </c>
      <c r="J1185" s="17">
        <f>B1185/I1185-1</f>
        <v>0</v>
      </c>
    </row>
    <row r="1186" spans="1:10">
      <c r="A1186" s="6">
        <v>45940</v>
      </c>
      <c r="B1186" s="14">
        <v>42972283.86790902</v>
      </c>
      <c r="D1186" s="17">
        <f>B1186/B1185-1</f>
        <v>0</v>
      </c>
      <c r="E1186" s="14">
        <v>21107617.16007924</v>
      </c>
      <c r="F1186" s="17">
        <f>E1186/E1185-1</f>
        <v>0</v>
      </c>
      <c r="G1186" s="14">
        <v>27909001.42679544</v>
      </c>
      <c r="H1186" s="17">
        <f>G1186/G1185-1</f>
        <v>0</v>
      </c>
      <c r="I1186" s="14">
        <f>MAX(I1185,B1186)</f>
        <v>0</v>
      </c>
      <c r="J1186" s="17">
        <f>B1186/I1186-1</f>
        <v>0</v>
      </c>
    </row>
    <row r="1187" spans="1:10">
      <c r="A1187" s="6">
        <v>45943</v>
      </c>
      <c r="B1187" s="14">
        <v>43345259.1380147</v>
      </c>
      <c r="D1187" s="17">
        <f>B1187/B1186-1</f>
        <v>0</v>
      </c>
      <c r="E1187" s="14">
        <v>21069957.10334</v>
      </c>
      <c r="F1187" s="17">
        <f>E1187/E1186-1</f>
        <v>0</v>
      </c>
      <c r="G1187" s="14">
        <v>27833550.71204518</v>
      </c>
      <c r="H1187" s="17">
        <f>G1187/G1186-1</f>
        <v>0</v>
      </c>
      <c r="I1187" s="14">
        <f>MAX(I1186,B1187)</f>
        <v>0</v>
      </c>
      <c r="J1187" s="17">
        <f>B1187/I1187-1</f>
        <v>0</v>
      </c>
    </row>
    <row r="1188" spans="1:10">
      <c r="A1188" s="6">
        <v>45944</v>
      </c>
      <c r="B1188" s="14">
        <v>43169418.30550456</v>
      </c>
      <c r="D1188" s="17">
        <f>B1188/B1187-1</f>
        <v>0</v>
      </c>
      <c r="E1188" s="14">
        <v>20970787.96391033</v>
      </c>
      <c r="F1188" s="17">
        <f>E1188/E1187-1</f>
        <v>0</v>
      </c>
      <c r="G1188" s="14">
        <v>27562028.49955485</v>
      </c>
      <c r="H1188" s="17">
        <f>G1188/G1187-1</f>
        <v>0</v>
      </c>
      <c r="I1188" s="14">
        <f>MAX(I1187,B1188)</f>
        <v>0</v>
      </c>
      <c r="J1188" s="17">
        <f>B1188/I1188-1</f>
        <v>0</v>
      </c>
    </row>
    <row r="1189" spans="1:10">
      <c r="A1189" s="6">
        <v>45945</v>
      </c>
      <c r="B1189" s="14">
        <v>43313426.72927734</v>
      </c>
      <c r="D1189" s="17">
        <f>B1189/B1188-1</f>
        <v>0</v>
      </c>
      <c r="E1189" s="14">
        <v>21146632.14995748</v>
      </c>
      <c r="F1189" s="17">
        <f>E1189/E1188-1</f>
        <v>0</v>
      </c>
      <c r="G1189" s="14">
        <v>27820499.02158077</v>
      </c>
      <c r="H1189" s="17">
        <f>G1189/G1188-1</f>
        <v>0</v>
      </c>
      <c r="I1189" s="14">
        <f>MAX(I1188,B1189)</f>
        <v>0</v>
      </c>
      <c r="J1189" s="17">
        <f>B1189/I1189-1</f>
        <v>0</v>
      </c>
    </row>
    <row r="1190" spans="1:10">
      <c r="A1190" s="6">
        <v>45946</v>
      </c>
      <c r="B1190" s="14">
        <v>43582239.58210787</v>
      </c>
      <c r="D1190" s="17">
        <f>B1190/B1189-1</f>
        <v>0</v>
      </c>
      <c r="E1190" s="14">
        <v>21316298.72865047</v>
      </c>
      <c r="F1190" s="17">
        <f>E1190/E1189-1</f>
        <v>0</v>
      </c>
      <c r="G1190" s="14">
        <v>27974364.53652617</v>
      </c>
      <c r="H1190" s="17">
        <f>G1190/G1189-1</f>
        <v>0</v>
      </c>
      <c r="I1190" s="14">
        <f>MAX(I1189,B1190)</f>
        <v>0</v>
      </c>
      <c r="J1190" s="17">
        <f>B1190/I1190-1</f>
        <v>0</v>
      </c>
    </row>
    <row r="1191" spans="1:10">
      <c r="A1191" s="6">
        <v>45947</v>
      </c>
      <c r="B1191" s="14">
        <v>43818520.2963513</v>
      </c>
      <c r="D1191" s="17">
        <f>B1191/B1190-1</f>
        <v>0</v>
      </c>
      <c r="E1191" s="14">
        <v>21348297.04477671</v>
      </c>
      <c r="F1191" s="17">
        <f>E1191/E1190-1</f>
        <v>0</v>
      </c>
      <c r="G1191" s="14">
        <v>27916068.37680241</v>
      </c>
      <c r="H1191" s="17">
        <f>G1191/G1190-1</f>
        <v>0</v>
      </c>
      <c r="I1191" s="14">
        <f>MAX(I1190,B1191)</f>
        <v>0</v>
      </c>
      <c r="J1191" s="17">
        <f>B1191/I1191-1</f>
        <v>0</v>
      </c>
    </row>
    <row r="1192" spans="1:10">
      <c r="A1192" s="6">
        <v>45950</v>
      </c>
      <c r="B1192" s="14">
        <v>44127356.11822817</v>
      </c>
      <c r="D1192" s="17">
        <f>B1192/B1191-1</f>
        <v>0</v>
      </c>
      <c r="E1192" s="14">
        <v>21456108.10553644</v>
      </c>
      <c r="F1192" s="17">
        <f>E1192/E1191-1</f>
        <v>0</v>
      </c>
      <c r="G1192" s="14">
        <v>28060277.82681331</v>
      </c>
      <c r="H1192" s="17">
        <f>G1192/G1191-1</f>
        <v>0</v>
      </c>
      <c r="I1192" s="14">
        <f>MAX(I1191,B1192)</f>
        <v>0</v>
      </c>
      <c r="J1192" s="17">
        <f>B1192/I1192-1</f>
        <v>0</v>
      </c>
    </row>
    <row r="1193" spans="1:10">
      <c r="A1193" s="6">
        <v>45951</v>
      </c>
      <c r="B1193" s="14">
        <v>44177820.1797575</v>
      </c>
      <c r="D1193" s="17">
        <f>B1193/B1192-1</f>
        <v>0</v>
      </c>
      <c r="E1193" s="14">
        <v>21496122.31923714</v>
      </c>
      <c r="F1193" s="17">
        <f>E1193/E1192-1</f>
        <v>0</v>
      </c>
      <c r="G1193" s="14">
        <v>28155346.12936616</v>
      </c>
      <c r="H1193" s="17">
        <f>G1193/G1192-1</f>
        <v>0</v>
      </c>
      <c r="I1193" s="14">
        <f>MAX(I1192,B1193)</f>
        <v>0</v>
      </c>
      <c r="J1193" s="17">
        <f>B1193/I1193-1</f>
        <v>0</v>
      </c>
    </row>
    <row r="1194" spans="1:10">
      <c r="A1194" s="6">
        <v>45953</v>
      </c>
      <c r="B1194" s="14">
        <v>43679472.11549944</v>
      </c>
      <c r="D1194" s="17">
        <f>B1194/B1193-1</f>
        <v>0</v>
      </c>
      <c r="E1194" s="14">
        <v>21494161.33119251</v>
      </c>
      <c r="F1194" s="17">
        <f>E1194/E1193-1</f>
        <v>0</v>
      </c>
      <c r="G1194" s="14">
        <v>28111367.47729271</v>
      </c>
      <c r="H1194" s="17">
        <f>G1194/G1193-1</f>
        <v>0</v>
      </c>
      <c r="I1194" s="14">
        <f>MAX(I1193,B1194)</f>
        <v>0</v>
      </c>
      <c r="J1194" s="17">
        <f>B1194/I1194-1</f>
        <v>0</v>
      </c>
    </row>
    <row r="1195" spans="1:10">
      <c r="A1195" s="6">
        <v>45954</v>
      </c>
      <c r="B1195" s="14">
        <v>43353111.59515662</v>
      </c>
      <c r="D1195" s="17">
        <f>B1195/B1194-1</f>
        <v>0</v>
      </c>
      <c r="E1195" s="14">
        <v>21432482.03315278</v>
      </c>
      <c r="F1195" s="17">
        <f>E1195/E1194-1</f>
        <v>0</v>
      </c>
      <c r="G1195" s="14">
        <v>28049307.7239407</v>
      </c>
      <c r="H1195" s="17">
        <f>G1195/G1194-1</f>
        <v>0</v>
      </c>
      <c r="I1195" s="14">
        <f>MAX(I1194,B1195)</f>
        <v>0</v>
      </c>
      <c r="J1195" s="17">
        <f>B1195/I1195-1</f>
        <v>0</v>
      </c>
    </row>
    <row r="1196" spans="1:10">
      <c r="A1196" s="6">
        <v>45957</v>
      </c>
      <c r="B1196" s="14">
        <v>43717659.90778971</v>
      </c>
      <c r="D1196" s="17">
        <f>B1196/B1195-1</f>
        <v>0</v>
      </c>
      <c r="E1196" s="14">
        <v>21573119.49008122</v>
      </c>
      <c r="F1196" s="17">
        <f>E1196/E1195-1</f>
        <v>0</v>
      </c>
      <c r="G1196" s="14">
        <v>28209853.11180081</v>
      </c>
      <c r="H1196" s="17">
        <f>G1196/G1195-1</f>
        <v>0</v>
      </c>
      <c r="I1196" s="14">
        <f>MAX(I1195,B1196)</f>
        <v>0</v>
      </c>
      <c r="J1196" s="17">
        <f>B1196/I1196-1</f>
        <v>0</v>
      </c>
    </row>
    <row r="1197" spans="1:10">
      <c r="A1197" s="6">
        <v>45958</v>
      </c>
      <c r="B1197" s="14">
        <v>44012269.88484072</v>
      </c>
      <c r="D1197" s="17">
        <f>B1197/B1196-1</f>
        <v>0</v>
      </c>
      <c r="E1197" s="14">
        <v>21548493.82792574</v>
      </c>
      <c r="F1197" s="17">
        <f>E1197/E1196-1</f>
        <v>0</v>
      </c>
      <c r="G1197" s="14">
        <v>28177851.26971044</v>
      </c>
      <c r="H1197" s="17">
        <f>G1197/G1196-1</f>
        <v>0</v>
      </c>
      <c r="I1197" s="14">
        <f>MAX(I1196,B1197)</f>
        <v>0</v>
      </c>
      <c r="J1197" s="17">
        <f>B1197/I1197-1</f>
        <v>0</v>
      </c>
    </row>
    <row r="1198" spans="1:10">
      <c r="A1198" s="6">
        <v>45959</v>
      </c>
      <c r="B1198" s="14">
        <v>44003230.06257637</v>
      </c>
      <c r="D1198" s="17">
        <f>B1198/B1197-1</f>
        <v>0</v>
      </c>
      <c r="E1198" s="14">
        <v>21676072.89231465</v>
      </c>
      <c r="F1198" s="17">
        <f>E1198/E1197-1</f>
        <v>0</v>
      </c>
      <c r="G1198" s="14">
        <v>28378930.32152419</v>
      </c>
      <c r="H1198" s="17">
        <f>G1198/G1197-1</f>
        <v>0</v>
      </c>
      <c r="I1198" s="14">
        <f>MAX(I1197,B1198)</f>
        <v>0</v>
      </c>
      <c r="J1198" s="17">
        <f>B1198/I1198-1</f>
        <v>0</v>
      </c>
    </row>
    <row r="1199" spans="1:10">
      <c r="A1199" s="6">
        <v>45960</v>
      </c>
      <c r="B1199" s="14">
        <v>43699907.11321301</v>
      </c>
      <c r="D1199" s="17">
        <f>B1199/B1198-1</f>
        <v>0</v>
      </c>
      <c r="E1199" s="14">
        <v>21576563.87987564</v>
      </c>
      <c r="F1199" s="17">
        <f>E1199/E1198-1</f>
        <v>0</v>
      </c>
      <c r="G1199" s="14">
        <v>28313562.99235959</v>
      </c>
      <c r="H1199" s="17">
        <f>G1199/G1198-1</f>
        <v>0</v>
      </c>
      <c r="I1199" s="14">
        <f>MAX(I1198,B1199)</f>
        <v>0</v>
      </c>
      <c r="J1199" s="17">
        <f>B1199/I1199-1</f>
        <v>0</v>
      </c>
    </row>
    <row r="1200" spans="1:10">
      <c r="A1200" s="6">
        <v>45961</v>
      </c>
      <c r="B1200" s="14">
        <v>43434417.52890055</v>
      </c>
      <c r="D1200" s="17">
        <f>B1200/B1199-1</f>
        <v>0</v>
      </c>
      <c r="E1200" s="14">
        <v>21459125.45685773</v>
      </c>
      <c r="F1200" s="17">
        <f>E1200/E1199-1</f>
        <v>0</v>
      </c>
      <c r="G1200" s="14">
        <v>28168888.17549788</v>
      </c>
      <c r="H1200" s="17">
        <f>G1200/G1199-1</f>
        <v>0</v>
      </c>
      <c r="I1200" s="14">
        <f>MAX(I1199,B1200)</f>
        <v>0</v>
      </c>
      <c r="J1200" s="17">
        <f>B1200/I1200-1</f>
        <v>0</v>
      </c>
    </row>
    <row r="1201" spans="1:10">
      <c r="A1201" s="6">
        <v>45964</v>
      </c>
      <c r="B1201" s="14">
        <v>43349972.51341633</v>
      </c>
      <c r="D1201" s="17">
        <f>B1201/B1200-1</f>
        <v>0</v>
      </c>
      <c r="E1201" s="14">
        <v>21550922.89105117</v>
      </c>
      <c r="F1201" s="17">
        <f>E1201/E1200-1</f>
        <v>0</v>
      </c>
      <c r="G1201" s="14">
        <v>28358239.75555298</v>
      </c>
      <c r="H1201" s="17">
        <f>G1201/G1200-1</f>
        <v>0</v>
      </c>
      <c r="I1201" s="14">
        <f>MAX(I1200,B1201)</f>
        <v>0</v>
      </c>
      <c r="J1201" s="17">
        <f>B1201/I1201-1</f>
        <v>0</v>
      </c>
    </row>
    <row r="1202" spans="1:10">
      <c r="A1202" s="6">
        <v>45965</v>
      </c>
      <c r="B1202" s="14">
        <v>43117575.00163926</v>
      </c>
      <c r="D1202" s="17">
        <f>B1202/B1201-1</f>
        <v>0</v>
      </c>
      <c r="E1202" s="14">
        <v>21429535.15122556</v>
      </c>
      <c r="F1202" s="17">
        <f>E1202/E1201-1</f>
        <v>0</v>
      </c>
      <c r="G1202" s="14">
        <v>28209978.62518077</v>
      </c>
      <c r="H1202" s="17">
        <f>G1202/G1201-1</f>
        <v>0</v>
      </c>
      <c r="I1202" s="14">
        <f>MAX(I1201,B1202)</f>
        <v>0</v>
      </c>
      <c r="J1202" s="17">
        <f>B1202/I1202-1</f>
        <v>0</v>
      </c>
    </row>
    <row r="1203" spans="1:10">
      <c r="A1203" s="6">
        <v>45967</v>
      </c>
      <c r="B1203" s="14">
        <v>42907990.71932089</v>
      </c>
      <c r="D1203" s="17">
        <f>B1203/B1202-1</f>
        <v>0</v>
      </c>
      <c r="E1203" s="14">
        <v>21283652.86184466</v>
      </c>
      <c r="F1203" s="17">
        <f>E1203/E1202-1</f>
        <v>0</v>
      </c>
      <c r="G1203" s="14">
        <v>27887822.54006609</v>
      </c>
      <c r="H1203" s="17">
        <f>G1203/G1202-1</f>
        <v>0</v>
      </c>
      <c r="I1203" s="14">
        <f>MAX(I1202,B1203)</f>
        <v>0</v>
      </c>
      <c r="J1203" s="17">
        <f>B1203/I1203-1</f>
        <v>0</v>
      </c>
    </row>
    <row r="1204" spans="1:10">
      <c r="A1204" s="6">
        <v>45968</v>
      </c>
      <c r="B1204" s="14">
        <v>42842956.39862566</v>
      </c>
      <c r="D1204" s="17">
        <f>B1204/B1203-1</f>
        <v>0</v>
      </c>
      <c r="E1204" s="14">
        <v>21292224.27542377</v>
      </c>
      <c r="F1204" s="17">
        <f>E1204/E1203-1</f>
        <v>0</v>
      </c>
      <c r="G1204" s="14">
        <v>27903604.31132787</v>
      </c>
      <c r="H1204" s="17">
        <f>G1204/G1203-1</f>
        <v>0</v>
      </c>
      <c r="I1204" s="14">
        <f>MAX(I1203,B1204)</f>
        <v>0</v>
      </c>
      <c r="J1204" s="17">
        <f>B1204/I1204-1</f>
        <v>0</v>
      </c>
    </row>
    <row r="1205" spans="1:10">
      <c r="A1205" s="6">
        <v>45971</v>
      </c>
      <c r="B1205" s="14">
        <v>42738901.1917274</v>
      </c>
      <c r="D1205" s="17">
        <f>B1205/B1204-1</f>
        <v>0</v>
      </c>
      <c r="E1205" s="14">
        <v>21361492.42752733</v>
      </c>
      <c r="F1205" s="17">
        <f>E1205/E1204-1</f>
        <v>0</v>
      </c>
      <c r="G1205" s="14">
        <v>27971744.42268161</v>
      </c>
      <c r="H1205" s="17">
        <f>G1205/G1204-1</f>
        <v>0</v>
      </c>
      <c r="I1205" s="14">
        <f>MAX(I1204,B1205)</f>
        <v>0</v>
      </c>
      <c r="J1205" s="17">
        <f>B1205/I1205-1</f>
        <v>0</v>
      </c>
    </row>
    <row r="1206" spans="1:10">
      <c r="A1206" s="6">
        <v>45972</v>
      </c>
      <c r="B1206" s="14">
        <v>42646097.31501509</v>
      </c>
      <c r="D1206" s="17">
        <f>B1206/B1205-1</f>
        <v>0</v>
      </c>
      <c r="E1206" s="14">
        <v>21440136.27653323</v>
      </c>
      <c r="F1206" s="17">
        <f>E1206/E1205-1</f>
        <v>0</v>
      </c>
      <c r="G1206" s="14">
        <v>28016070.43427366</v>
      </c>
      <c r="H1206" s="17">
        <f>G1206/G1205-1</f>
        <v>0</v>
      </c>
      <c r="I1206" s="14">
        <f>MAX(I1205,B1206)</f>
        <v>0</v>
      </c>
      <c r="J1206" s="17">
        <f>B1206/I1206-1</f>
        <v>0</v>
      </c>
    </row>
    <row r="1207" spans="1:10">
      <c r="A1207" s="6">
        <v>45973</v>
      </c>
      <c r="B1207" s="14">
        <v>42698468.93550815</v>
      </c>
      <c r="D1207" s="17">
        <f>B1207/B1206-1</f>
        <v>0</v>
      </c>
      <c r="E1207" s="14">
        <v>21580801.27718546</v>
      </c>
      <c r="F1207" s="17">
        <f>E1207/E1206-1</f>
        <v>0</v>
      </c>
      <c r="G1207" s="14">
        <v>28181886.90909852</v>
      </c>
      <c r="H1207" s="17">
        <f>G1207/G1206-1</f>
        <v>0</v>
      </c>
      <c r="I1207" s="14">
        <f>MAX(I1206,B1207)</f>
        <v>0</v>
      </c>
      <c r="J1207" s="17">
        <f>B1207/I1207-1</f>
        <v>0</v>
      </c>
    </row>
    <row r="1208" spans="1:10">
      <c r="A1208" s="6">
        <v>45974</v>
      </c>
      <c r="B1208" s="14">
        <v>42746373.74495141</v>
      </c>
      <c r="D1208" s="17">
        <f>B1208/B1207-1</f>
        <v>0</v>
      </c>
      <c r="E1208" s="14">
        <v>21562906.710052</v>
      </c>
      <c r="F1208" s="17">
        <f>E1208/E1207-1</f>
        <v>0</v>
      </c>
      <c r="G1208" s="14">
        <v>28111908.56470741</v>
      </c>
      <c r="H1208" s="17">
        <f>G1208/G1207-1</f>
        <v>0</v>
      </c>
      <c r="I1208" s="14">
        <f>MAX(I1207,B1208)</f>
        <v>0</v>
      </c>
      <c r="J1208" s="17">
        <f>B1208/I1208-1</f>
        <v>0</v>
      </c>
    </row>
    <row r="1209" spans="1:10">
      <c r="A1209" s="6">
        <v>45975</v>
      </c>
      <c r="B1209" s="14">
        <v>42896661.356365</v>
      </c>
      <c r="D1209" s="17">
        <f>B1209/B1208-1</f>
        <v>0</v>
      </c>
      <c r="E1209" s="14">
        <v>21582357.96628135</v>
      </c>
      <c r="F1209" s="17">
        <f>E1209/E1208-1</f>
        <v>0</v>
      </c>
      <c r="G1209" s="14">
        <v>28135489.7999811</v>
      </c>
      <c r="H1209" s="17">
        <f>G1209/G1208-1</f>
        <v>0</v>
      </c>
      <c r="I1209" s="14">
        <f>MAX(I1208,B1209)</f>
        <v>0</v>
      </c>
      <c r="J1209" s="17">
        <f>B1209/I1209-1</f>
        <v>0</v>
      </c>
    </row>
    <row r="1210" spans="1:10">
      <c r="A1210" s="6">
        <v>45978</v>
      </c>
      <c r="B1210" s="14">
        <v>43351942.01252755</v>
      </c>
      <c r="D1210" s="17">
        <f>B1210/B1209-1</f>
        <v>0</v>
      </c>
      <c r="E1210" s="14">
        <v>21690409.63564245</v>
      </c>
      <c r="F1210" s="17">
        <f>E1210/E1209-1</f>
        <v>0</v>
      </c>
      <c r="G1210" s="14">
        <v>28293582.76134371</v>
      </c>
      <c r="H1210" s="17">
        <f>G1210/G1209-1</f>
        <v>0</v>
      </c>
      <c r="I1210" s="14">
        <f>MAX(I1209,B1210)</f>
        <v>0</v>
      </c>
      <c r="J1210" s="17">
        <f>B1210/I1210-1</f>
        <v>0</v>
      </c>
    </row>
    <row r="1211" spans="1:10">
      <c r="A1211" s="6">
        <v>45979</v>
      </c>
      <c r="B1211" s="14">
        <v>43209257.01184573</v>
      </c>
      <c r="D1211" s="17">
        <f>B1211/B1210-1</f>
        <v>0</v>
      </c>
      <c r="E1211" s="14">
        <v>21573820.07344013</v>
      </c>
      <c r="F1211" s="17">
        <f>E1211/E1210-1</f>
        <v>0</v>
      </c>
      <c r="G1211" s="14">
        <v>28084973.49767341</v>
      </c>
      <c r="H1211" s="17">
        <f>G1211/G1210-1</f>
        <v>0</v>
      </c>
      <c r="I1211" s="14">
        <f>MAX(I1210,B1211)</f>
        <v>0</v>
      </c>
      <c r="J1211" s="17">
        <f>B1211/I1211-1</f>
        <v>0</v>
      </c>
    </row>
    <row r="1212" spans="1:10">
      <c r="A1212" s="6">
        <v>45980</v>
      </c>
      <c r="B1212" s="14">
        <v>43250361.24303375</v>
      </c>
      <c r="D1212" s="17">
        <f>B1212/B1211-1</f>
        <v>0</v>
      </c>
      <c r="E1212" s="14">
        <v>21648783.88026879</v>
      </c>
      <c r="F1212" s="17">
        <f>E1212/E1211-1</f>
        <v>0</v>
      </c>
      <c r="G1212" s="14">
        <v>28100844.50219867</v>
      </c>
      <c r="H1212" s="17">
        <f>G1212/G1211-1</f>
        <v>0</v>
      </c>
      <c r="I1212" s="14">
        <f>MAX(I1211,B1212)</f>
        <v>0</v>
      </c>
      <c r="J1212" s="17">
        <f>B1212/I1212-1</f>
        <v>0</v>
      </c>
    </row>
    <row r="1213" spans="1:10">
      <c r="A1213" s="6">
        <v>45981</v>
      </c>
      <c r="B1213" s="14">
        <v>43528874.75738273</v>
      </c>
      <c r="D1213" s="17">
        <f>B1213/B1212-1</f>
        <v>0</v>
      </c>
      <c r="E1213" s="14">
        <v>21712433.39536124</v>
      </c>
      <c r="F1213" s="17">
        <f>E1213/E1212-1</f>
        <v>0</v>
      </c>
      <c r="G1213" s="14">
        <v>28081240.52534945</v>
      </c>
      <c r="H1213" s="17">
        <f>G1213/G1212-1</f>
        <v>0</v>
      </c>
      <c r="I1213" s="14">
        <f>MAX(I1212,B1213)</f>
        <v>0</v>
      </c>
      <c r="J1213" s="17">
        <f>B1213/I1213-1</f>
        <v>0</v>
      </c>
    </row>
    <row r="1214" spans="1:10">
      <c r="A1214" s="6">
        <v>45982</v>
      </c>
      <c r="B1214" s="14">
        <v>43168169.47536901</v>
      </c>
      <c r="D1214" s="17">
        <f>B1214/B1213-1</f>
        <v>0</v>
      </c>
      <c r="E1214" s="14">
        <v>21545748.84903213</v>
      </c>
      <c r="F1214" s="17">
        <f>E1214/E1213-1</f>
        <v>0</v>
      </c>
      <c r="G1214" s="14">
        <v>27804498.01824249</v>
      </c>
      <c r="H1214" s="17">
        <f>G1214/G1213-1</f>
        <v>0</v>
      </c>
      <c r="I1214" s="14">
        <f>MAX(I1213,B1214)</f>
        <v>0</v>
      </c>
      <c r="J1214" s="17">
        <f>B1214/I1214-1</f>
        <v>0</v>
      </c>
    </row>
    <row r="1215" spans="1:10">
      <c r="A1215" s="6">
        <v>45985</v>
      </c>
      <c r="B1215" s="14">
        <v>43305606.42541075</v>
      </c>
      <c r="D1215" s="17">
        <f>B1215/B1214-1</f>
        <v>0</v>
      </c>
      <c r="E1215" s="14">
        <v>21441991.30982015</v>
      </c>
      <c r="F1215" s="17">
        <f>E1215/E1214-1</f>
        <v>0</v>
      </c>
      <c r="G1215" s="14">
        <v>27622342.41396444</v>
      </c>
      <c r="H1215" s="17">
        <f>G1215/G1214-1</f>
        <v>0</v>
      </c>
      <c r="I1215" s="14">
        <f>MAX(I1214,B1215)</f>
        <v>0</v>
      </c>
      <c r="J1215" s="17">
        <f>B1215/I1215-1</f>
        <v>0</v>
      </c>
    </row>
    <row r="1216" spans="1:10">
      <c r="A1216" s="6">
        <v>45986</v>
      </c>
      <c r="B1216" s="14">
        <v>43341789.93315119</v>
      </c>
      <c r="D1216" s="17">
        <f>B1216/B1215-1</f>
        <v>0</v>
      </c>
      <c r="E1216" s="14">
        <v>21425351.24765926</v>
      </c>
      <c r="F1216" s="17">
        <f>E1216/E1215-1</f>
        <v>0</v>
      </c>
      <c r="G1216" s="14">
        <v>27680949.55979102</v>
      </c>
      <c r="H1216" s="17">
        <f>G1216/G1215-1</f>
        <v>0</v>
      </c>
      <c r="I1216" s="14">
        <f>MAX(I1215,B1216)</f>
        <v>0</v>
      </c>
      <c r="J1216" s="17">
        <f>B1216/I1216-1</f>
        <v>0</v>
      </c>
    </row>
    <row r="1217" spans="1:10">
      <c r="A1217" s="6">
        <v>45987</v>
      </c>
      <c r="B1217" s="14">
        <v>43843012.65292479</v>
      </c>
      <c r="D1217" s="17">
        <f>B1217/B1216-1</f>
        <v>0</v>
      </c>
      <c r="E1217" s="14">
        <v>21698228.27249313</v>
      </c>
      <c r="F1217" s="17">
        <f>E1217/E1216-1</f>
        <v>0</v>
      </c>
      <c r="G1217" s="14">
        <v>28024427.46010916</v>
      </c>
      <c r="H1217" s="17">
        <f>G1217/G1216-1</f>
        <v>0</v>
      </c>
      <c r="I1217" s="14">
        <f>MAX(I1216,B1217)</f>
        <v>0</v>
      </c>
      <c r="J1217" s="17">
        <f>B1217/I1217-1</f>
        <v>0</v>
      </c>
    </row>
    <row r="1218" spans="1:10">
      <c r="A1218" s="6">
        <v>45988</v>
      </c>
      <c r="B1218" s="14">
        <v>43497186.25797597</v>
      </c>
      <c r="D1218" s="17">
        <f>B1218/B1217-1</f>
        <v>0</v>
      </c>
      <c r="E1218" s="14">
        <v>21692514.14075782</v>
      </c>
      <c r="F1218" s="17">
        <f>E1218/E1217-1</f>
        <v>0</v>
      </c>
      <c r="G1218" s="14">
        <v>27969969.24261785</v>
      </c>
      <c r="H1218" s="17">
        <f>G1218/G1217-1</f>
        <v>0</v>
      </c>
      <c r="I1218" s="14">
        <f>MAX(I1217,B1218)</f>
        <v>0</v>
      </c>
      <c r="J1218" s="17">
        <f>B1218/I1218-1</f>
        <v>0</v>
      </c>
    </row>
    <row r="1219" spans="1:10">
      <c r="A1219" s="6">
        <v>45989</v>
      </c>
      <c r="B1219" s="14">
        <v>43427545.2756021</v>
      </c>
      <c r="D1219" s="17">
        <f>B1219/B1218-1</f>
        <v>0</v>
      </c>
      <c r="E1219" s="14">
        <v>21680366.62976688</v>
      </c>
      <c r="F1219" s="17">
        <f>E1219/E1218-1</f>
        <v>0</v>
      </c>
      <c r="G1219" s="14">
        <v>27920126.5760343</v>
      </c>
      <c r="H1219" s="17">
        <f>G1219/G1218-1</f>
        <v>0</v>
      </c>
      <c r="I1219" s="14">
        <f>MAX(I1218,B1219)</f>
        <v>0</v>
      </c>
      <c r="J1219" s="17">
        <f>B1219/I1219-1</f>
        <v>0</v>
      </c>
    </row>
    <row r="1220" spans="1:10">
      <c r="A1220" s="6">
        <v>45992</v>
      </c>
      <c r="B1220" s="14">
        <v>43632754.07318882</v>
      </c>
      <c r="D1220" s="17">
        <f>B1220/B1219-1</f>
        <v>0</v>
      </c>
      <c r="E1220" s="14">
        <v>21671660.9259233</v>
      </c>
      <c r="F1220" s="17">
        <f>E1220/E1219-1</f>
        <v>0</v>
      </c>
      <c r="G1220" s="14">
        <v>27942957.88937532</v>
      </c>
      <c r="H1220" s="17">
        <f>G1220/G1219-1</f>
        <v>0</v>
      </c>
      <c r="I1220" s="14">
        <f>MAX(I1219,B1220)</f>
        <v>0</v>
      </c>
      <c r="J1220" s="17">
        <f>B1220/I1220-1</f>
        <v>0</v>
      </c>
    </row>
    <row r="1221" spans="1:10">
      <c r="A1221" s="6">
        <v>45993</v>
      </c>
      <c r="B1221" s="14">
        <v>43539188.42861669</v>
      </c>
      <c r="D1221" s="17">
        <f>B1221/B1220-1</f>
        <v>0</v>
      </c>
      <c r="E1221" s="14">
        <v>21581921.12157345</v>
      </c>
      <c r="F1221" s="17">
        <f>E1221/E1220-1</f>
        <v>0</v>
      </c>
      <c r="G1221" s="14">
        <v>27862148.25666652</v>
      </c>
      <c r="H1221" s="17">
        <f>G1221/G1220-1</f>
        <v>0</v>
      </c>
      <c r="I1221" s="14">
        <f>MAX(I1220,B1221)</f>
        <v>0</v>
      </c>
      <c r="J1221" s="17">
        <f>B1221/I1221-1</f>
        <v>0</v>
      </c>
    </row>
    <row r="1222" spans="1:10">
      <c r="A1222" s="6">
        <v>45994</v>
      </c>
      <c r="B1222" s="14">
        <v>43120747.70096114</v>
      </c>
      <c r="D1222" s="17">
        <f>B1222/B1221-1</f>
        <v>0</v>
      </c>
      <c r="E1222" s="14">
        <v>21486963.45364573</v>
      </c>
      <c r="F1222" s="17">
        <f>E1222/E1221-1</f>
        <v>0</v>
      </c>
      <c r="G1222" s="14">
        <v>27644949.4557464</v>
      </c>
      <c r="H1222" s="17">
        <f>G1222/G1221-1</f>
        <v>0</v>
      </c>
      <c r="I1222" s="14">
        <f>MAX(I1221,B1222)</f>
        <v>0</v>
      </c>
      <c r="J1222" s="17">
        <f>B1222/I1222-1</f>
        <v>0</v>
      </c>
    </row>
    <row r="1223" spans="1:10">
      <c r="A1223" s="6">
        <v>45995</v>
      </c>
      <c r="B1223" s="14">
        <v>42918030.40882478</v>
      </c>
      <c r="D1223" s="17">
        <f>B1223/B1222-1</f>
        <v>0</v>
      </c>
      <c r="E1223" s="14">
        <v>21510454.37537801</v>
      </c>
      <c r="F1223" s="17">
        <f>E1223/E1222-1</f>
        <v>0</v>
      </c>
      <c r="G1223" s="14">
        <v>27667023.73477497</v>
      </c>
      <c r="H1223" s="17">
        <f>G1223/G1222-1</f>
        <v>0</v>
      </c>
      <c r="I1223" s="14">
        <f>MAX(I1222,B1223)</f>
        <v>0</v>
      </c>
      <c r="J1223" s="17">
        <f>B1223/I1223-1</f>
        <v>0</v>
      </c>
    </row>
    <row r="1224" spans="1:10">
      <c r="A1224" s="6">
        <v>45996</v>
      </c>
      <c r="B1224" s="14">
        <v>43157837.19382717</v>
      </c>
      <c r="D1224" s="17">
        <f>B1224/B1223-1</f>
        <v>0</v>
      </c>
      <c r="E1224" s="14">
        <v>21596782.97424414</v>
      </c>
      <c r="F1224" s="17">
        <f>E1224/E1223-1</f>
        <v>0</v>
      </c>
      <c r="G1224" s="14">
        <v>27693554.28571083</v>
      </c>
      <c r="H1224" s="17">
        <f>G1224/G1223-1</f>
        <v>0</v>
      </c>
      <c r="I1224" s="14">
        <f>MAX(I1223,B1224)</f>
        <v>0</v>
      </c>
      <c r="J1224" s="17">
        <f>B1224/I1224-1</f>
        <v>0</v>
      </c>
    </row>
    <row r="1225" spans="1:10">
      <c r="A1225" s="6">
        <v>45999</v>
      </c>
      <c r="B1225" s="14">
        <v>42460959.02175239</v>
      </c>
      <c r="D1225" s="17">
        <f>B1225/B1224-1</f>
        <v>0</v>
      </c>
      <c r="E1225" s="14">
        <v>21317784.84983192</v>
      </c>
      <c r="F1225" s="17">
        <f>E1225/E1224-1</f>
        <v>0</v>
      </c>
      <c r="G1225" s="14">
        <v>27175800.49541921</v>
      </c>
      <c r="H1225" s="17">
        <f>G1225/G1224-1</f>
        <v>0</v>
      </c>
      <c r="I1225" s="14">
        <f>MAX(I1224,B1225)</f>
        <v>0</v>
      </c>
      <c r="J1225" s="17">
        <f>B1225/I1225-1</f>
        <v>0</v>
      </c>
    </row>
    <row r="1226" spans="1:10">
      <c r="A1226" s="6">
        <v>46000</v>
      </c>
      <c r="B1226" s="14">
        <v>42464499.69027264</v>
      </c>
      <c r="D1226" s="17">
        <f>B1226/B1225-1</f>
        <v>0</v>
      </c>
      <c r="E1226" s="14">
        <v>21309784.70110728</v>
      </c>
      <c r="F1226" s="17">
        <f>E1226/E1225-1</f>
        <v>0</v>
      </c>
      <c r="G1226" s="14">
        <v>27332757.98652983</v>
      </c>
      <c r="H1226" s="17">
        <f>G1226/G1225-1</f>
        <v>0</v>
      </c>
      <c r="I1226" s="14">
        <f>MAX(I1225,B1226)</f>
        <v>0</v>
      </c>
      <c r="J1226" s="17">
        <f>B1226/I1226-1</f>
        <v>0</v>
      </c>
    </row>
    <row r="1227" spans="1:10">
      <c r="A1227" s="6">
        <v>46001</v>
      </c>
      <c r="B1227" s="14">
        <v>42255888.33952288</v>
      </c>
      <c r="D1227" s="17">
        <f>B1227/B1226-1</f>
        <v>0</v>
      </c>
      <c r="E1227" s="14">
        <v>21213431.89977552</v>
      </c>
      <c r="F1227" s="17">
        <f>E1227/E1226-1</f>
        <v>0</v>
      </c>
      <c r="G1227" s="14">
        <v>27206917.93634587</v>
      </c>
      <c r="H1227" s="17">
        <f>G1227/G1226-1</f>
        <v>0</v>
      </c>
      <c r="I1227" s="14">
        <f>MAX(I1226,B1227)</f>
        <v>0</v>
      </c>
      <c r="J1227" s="17">
        <f>B1227/I1227-1</f>
        <v>0</v>
      </c>
    </row>
    <row r="1228" spans="1:10">
      <c r="A1228" s="6">
        <v>46002</v>
      </c>
      <c r="B1228" s="14">
        <v>42345374.88677505</v>
      </c>
      <c r="D1228" s="17">
        <f>B1228/B1227-1</f>
        <v>0</v>
      </c>
      <c r="E1228" s="14">
        <v>21343168.99671598</v>
      </c>
      <c r="F1228" s="17">
        <f>E1228/E1227-1</f>
        <v>0</v>
      </c>
      <c r="G1228" s="14">
        <v>27368840.01902641</v>
      </c>
      <c r="H1228" s="17">
        <f>G1228/G1227-1</f>
        <v>0</v>
      </c>
      <c r="I1228" s="14">
        <f>MAX(I1227,B1228)</f>
        <v>0</v>
      </c>
      <c r="J1228" s="17">
        <f>B1228/I1228-1</f>
        <v>0</v>
      </c>
    </row>
    <row r="1229" spans="1:10">
      <c r="A1229" s="6">
        <v>46003</v>
      </c>
      <c r="B1229" s="14">
        <v>42829104.7652063</v>
      </c>
      <c r="D1229" s="17">
        <f>B1229/B1228-1</f>
        <v>0</v>
      </c>
      <c r="E1229" s="14">
        <v>21503097.49661648</v>
      </c>
      <c r="F1229" s="17">
        <f>E1229/E1228-1</f>
        <v>0</v>
      </c>
      <c r="G1229" s="14">
        <v>27603116.62515261</v>
      </c>
      <c r="H1229" s="17">
        <f>G1229/G1228-1</f>
        <v>0</v>
      </c>
      <c r="I1229" s="14">
        <f>MAX(I1228,B1229)</f>
        <v>0</v>
      </c>
      <c r="J1229" s="17">
        <f>B1229/I1229-1</f>
        <v>0</v>
      </c>
    </row>
    <row r="1230" spans="1:10">
      <c r="A1230" s="6">
        <v>46006</v>
      </c>
      <c r="B1230" s="14">
        <v>42628536.9255683</v>
      </c>
      <c r="D1230" s="17">
        <f>B1230/B1229-1</f>
        <v>0</v>
      </c>
      <c r="E1230" s="14">
        <v>21503215.15182168</v>
      </c>
      <c r="F1230" s="17">
        <f>E1230/E1229-1</f>
        <v>0</v>
      </c>
      <c r="G1230" s="14">
        <v>27634284.4640768</v>
      </c>
      <c r="H1230" s="17">
        <f>G1230/G1229-1</f>
        <v>0</v>
      </c>
      <c r="I1230" s="14">
        <f>MAX(I1229,B1230)</f>
        <v>0</v>
      </c>
      <c r="J1230" s="17">
        <f>B1230/I1230-1</f>
        <v>0</v>
      </c>
    </row>
    <row r="1231" spans="1:10">
      <c r="A1231" s="6">
        <v>46007</v>
      </c>
      <c r="B1231" s="14">
        <v>42445614.07772236</v>
      </c>
      <c r="D1231" s="17">
        <f>B1231/B1230-1</f>
        <v>0</v>
      </c>
      <c r="E1231" s="14">
        <v>21363711.38781143</v>
      </c>
      <c r="F1231" s="17">
        <f>E1231/E1230-1</f>
        <v>0</v>
      </c>
      <c r="G1231" s="14">
        <v>27431595.90794078</v>
      </c>
      <c r="H1231" s="17">
        <f>G1231/G1230-1</f>
        <v>0</v>
      </c>
      <c r="I1231" s="14">
        <f>MAX(I1230,B1231)</f>
        <v>0</v>
      </c>
      <c r="J1231" s="17">
        <f>B1231/I1231-1</f>
        <v>0</v>
      </c>
    </row>
    <row r="1232" spans="1:10">
      <c r="A1232" s="6">
        <v>46008</v>
      </c>
      <c r="B1232" s="14">
        <v>42302740.38492566</v>
      </c>
      <c r="D1232" s="17">
        <f>B1232/B1231-1</f>
        <v>0</v>
      </c>
      <c r="E1232" s="14">
        <v>21297565.67948672</v>
      </c>
      <c r="F1232" s="17">
        <f>E1232/E1231-1</f>
        <v>0</v>
      </c>
      <c r="G1232" s="14">
        <v>27279618.05620826</v>
      </c>
      <c r="H1232" s="17">
        <f>G1232/G1231-1</f>
        <v>0</v>
      </c>
      <c r="I1232" s="14">
        <f>MAX(I1231,B1232)</f>
        <v>0</v>
      </c>
      <c r="J1232" s="17">
        <f>B1232/I1232-1</f>
        <v>0</v>
      </c>
    </row>
    <row r="1233" spans="1:10">
      <c r="A1233" s="6">
        <v>46009</v>
      </c>
      <c r="B1233" s="14">
        <v>41936465.87379077</v>
      </c>
      <c r="D1233" s="17">
        <f>B1233/B1232-1</f>
        <v>0</v>
      </c>
      <c r="E1233" s="14">
        <v>21294454.8768136</v>
      </c>
      <c r="F1233" s="17">
        <f>E1233/E1232-1</f>
        <v>0</v>
      </c>
      <c r="G1233" s="14">
        <v>27256531.00987662</v>
      </c>
      <c r="H1233" s="17">
        <f>G1233/G1232-1</f>
        <v>0</v>
      </c>
      <c r="I1233" s="14">
        <f>MAX(I1232,B1233)</f>
        <v>0</v>
      </c>
      <c r="J1233" s="17">
        <f>B1233/I1233-1</f>
        <v>0</v>
      </c>
    </row>
    <row r="1234" spans="1:10">
      <c r="A1234" s="6">
        <v>46010</v>
      </c>
      <c r="B1234" s="14">
        <v>42259717.39281999</v>
      </c>
      <c r="D1234" s="17">
        <f>B1234/B1233-1</f>
        <v>0</v>
      </c>
      <c r="E1234" s="14">
        <v>21464119.25992957</v>
      </c>
      <c r="F1234" s="17">
        <f>E1234/E1233-1</f>
        <v>0</v>
      </c>
      <c r="G1234" s="14">
        <v>27527121.90208272</v>
      </c>
      <c r="H1234" s="17">
        <f>G1234/G1233-1</f>
        <v>0</v>
      </c>
      <c r="I1234" s="14">
        <f>MAX(I1233,B1234)</f>
        <v>0</v>
      </c>
      <c r="J1234" s="17">
        <f>B1234/I1234-1</f>
        <v>0</v>
      </c>
    </row>
    <row r="1235" spans="1:10">
      <c r="A1235" s="6">
        <v>46013</v>
      </c>
      <c r="B1235" s="14">
        <v>42658065.27101544</v>
      </c>
      <c r="D1235" s="17">
        <f>B1235/B1234-1</f>
        <v>0</v>
      </c>
      <c r="E1235" s="14">
        <v>21637470.02459187</v>
      </c>
      <c r="F1235" s="17">
        <f>E1235/E1234-1</f>
        <v>0</v>
      </c>
      <c r="G1235" s="14">
        <v>27755921.83603228</v>
      </c>
      <c r="H1235" s="17">
        <f>G1235/G1234-1</f>
        <v>0</v>
      </c>
      <c r="I1235" s="14">
        <f>MAX(I1234,B1235)</f>
        <v>0</v>
      </c>
      <c r="J1235" s="17">
        <f>B1235/I1235-1</f>
        <v>0</v>
      </c>
    </row>
    <row r="1236" spans="1:10">
      <c r="A1236" s="6">
        <v>46014</v>
      </c>
      <c r="B1236" s="14">
        <v>42703620.69787699</v>
      </c>
      <c r="D1236" s="17">
        <f>B1236/B1235-1</f>
        <v>0</v>
      </c>
      <c r="E1236" s="14">
        <v>21663430.79515494</v>
      </c>
      <c r="F1236" s="17">
        <f>E1236/E1235-1</f>
        <v>0</v>
      </c>
      <c r="G1236" s="14">
        <v>27844144.00082649</v>
      </c>
      <c r="H1236" s="17">
        <f>G1236/G1235-1</f>
        <v>0</v>
      </c>
      <c r="I1236" s="14">
        <f>MAX(I1235,B1236)</f>
        <v>0</v>
      </c>
      <c r="J1236" s="17">
        <f>B1236/I1236-1</f>
        <v>0</v>
      </c>
    </row>
    <row r="1237" spans="1:10">
      <c r="A1237" s="6">
        <v>46015</v>
      </c>
      <c r="B1237" s="14">
        <v>42712772.58620384</v>
      </c>
      <c r="D1237" s="17">
        <f>B1237/B1236-1</f>
        <v>0</v>
      </c>
      <c r="E1237" s="14">
        <v>21623755.52863135</v>
      </c>
      <c r="F1237" s="17">
        <f>E1237/E1236-1</f>
        <v>0</v>
      </c>
      <c r="G1237" s="14">
        <v>27814808.63535735</v>
      </c>
      <c r="H1237" s="17">
        <f>G1237/G1236-1</f>
        <v>0</v>
      </c>
      <c r="I1237" s="14">
        <f>MAX(I1236,B1237)</f>
        <v>0</v>
      </c>
      <c r="J1237" s="17">
        <f>B1237/I1237-1</f>
        <v>0</v>
      </c>
    </row>
    <row r="1238" spans="1:10">
      <c r="A1238" s="6">
        <v>46017</v>
      </c>
      <c r="B1238" s="14">
        <v>42687414.25300615</v>
      </c>
      <c r="D1238" s="17">
        <f>B1238/B1237-1</f>
        <v>0</v>
      </c>
      <c r="E1238" s="14">
        <v>21561319.94738948</v>
      </c>
      <c r="F1238" s="17">
        <f>E1238/E1237-1</f>
        <v>0</v>
      </c>
      <c r="G1238" s="14">
        <v>27775071.87365662</v>
      </c>
      <c r="H1238" s="17">
        <f>G1238/G1237-1</f>
        <v>0</v>
      </c>
      <c r="I1238" s="14">
        <f>MAX(I1237,B1238)</f>
        <v>0</v>
      </c>
      <c r="J1238" s="17">
        <f>B1238/I1238-1</f>
        <v>0</v>
      </c>
    </row>
    <row r="1239" spans="1:10">
      <c r="A1239" s="6">
        <v>46020</v>
      </c>
      <c r="B1239" s="14">
        <v>42393615.36967075</v>
      </c>
      <c r="D1239" s="17">
        <f>B1239/B1238-1</f>
        <v>0</v>
      </c>
      <c r="E1239" s="14">
        <v>21473354.67828895</v>
      </c>
      <c r="F1239" s="17">
        <f>E1239/E1238-1</f>
        <v>0</v>
      </c>
      <c r="G1239" s="14">
        <v>27668611.6368743</v>
      </c>
      <c r="H1239" s="17">
        <f>G1239/G1238-1</f>
        <v>0</v>
      </c>
      <c r="I1239" s="14">
        <f>MAX(I1238,B1239)</f>
        <v>0</v>
      </c>
      <c r="J1239" s="17">
        <f>B1239/I1239-1</f>
        <v>0</v>
      </c>
    </row>
    <row r="1240" spans="1:10">
      <c r="A1240" s="6">
        <v>46021</v>
      </c>
      <c r="B1240" s="14">
        <v>42382560.74533064</v>
      </c>
      <c r="D1240" s="17">
        <f>B1240/B1239-1</f>
        <v>0</v>
      </c>
      <c r="E1240" s="14">
        <v>21462318.72511094</v>
      </c>
      <c r="F1240" s="17">
        <f>E1240/E1239-1</f>
        <v>0</v>
      </c>
      <c r="G1240" s="14">
        <v>27604775.96148123</v>
      </c>
      <c r="H1240" s="17">
        <f>G1240/G1239-1</f>
        <v>0</v>
      </c>
      <c r="I1240" s="14">
        <f>MAX(I1239,B1240)</f>
        <v>0</v>
      </c>
      <c r="J1240" s="17">
        <f>B1240/I1240-1</f>
        <v>0</v>
      </c>
    </row>
    <row r="1241" spans="1:10">
      <c r="A1241" s="6">
        <v>46022</v>
      </c>
      <c r="B1241" s="14">
        <v>42742461.43503534</v>
      </c>
      <c r="D1241" s="17">
        <f>B1241/B1240-1</f>
        <v>0</v>
      </c>
      <c r="E1241" s="14">
        <v>21647189.7304308</v>
      </c>
      <c r="F1241" s="17">
        <f>E1241/E1240-1</f>
        <v>0</v>
      </c>
      <c r="G1241" s="14">
        <v>27933952.24315947</v>
      </c>
      <c r="H1241" s="17">
        <f>G1241/G1240-1</f>
        <v>0</v>
      </c>
      <c r="I1241" s="14">
        <f>MAX(I1240,B1241)</f>
        <v>0</v>
      </c>
      <c r="J1241" s="17">
        <f>B1241/I1241-1</f>
        <v>0</v>
      </c>
    </row>
  </sheetData>
  <mergeCells count="2">
    <mergeCell ref="A1:J1"/>
    <mergeCell ref="A2:J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7"/>
  <sheetViews>
    <sheetView workbookViewId="0">
      <pane ySplit="4" topLeftCell="A5" activePane="bottomLeft" state="frozen"/>
      <selection pane="bottomLeft"/>
    </sheetView>
  </sheetViews>
  <sheetFormatPr defaultRowHeight="15"/>
  <cols>
    <col min="1" max="1" width="40.7109375" customWidth="1"/>
    <col min="2" max="2" width="16.7109375" customWidth="1"/>
    <col min="3" max="3" width="56.7109375" customWidth="1"/>
    <col min="4" max="4" width="66.7109375" customWidth="1"/>
  </cols>
  <sheetData>
    <row r="1" spans="1:10" ht="22" customHeight="1">
      <c r="A1" s="1" t="s">
        <v>226</v>
      </c>
      <c r="B1" s="1"/>
      <c r="C1" s="1"/>
      <c r="D1" s="1"/>
      <c r="E1" s="1"/>
      <c r="F1" s="1"/>
      <c r="G1" s="1"/>
      <c r="H1" s="1"/>
      <c r="I1" s="1"/>
      <c r="J1" s="1"/>
    </row>
    <row r="2" spans="1:10" ht="26" customHeight="1">
      <c r="A2" s="2" t="s">
        <v>227</v>
      </c>
      <c r="B2" s="2"/>
      <c r="C2" s="2"/>
      <c r="D2" s="2"/>
      <c r="E2" s="2"/>
      <c r="F2" s="2"/>
      <c r="G2" s="2"/>
      <c r="H2" s="2"/>
      <c r="I2" s="2"/>
      <c r="J2" s="2"/>
    </row>
    <row r="3" spans="1:10">
      <c r="A3" s="2"/>
      <c r="B3" s="2"/>
      <c r="C3" s="2"/>
      <c r="D3" s="2"/>
      <c r="E3" s="2"/>
      <c r="F3" s="2"/>
      <c r="G3" s="2"/>
      <c r="H3" s="2"/>
      <c r="I3" s="2"/>
      <c r="J3" s="2"/>
    </row>
    <row r="5" spans="1:10">
      <c r="A5" s="5" t="s">
        <v>228</v>
      </c>
      <c r="B5" s="5" t="s">
        <v>229</v>
      </c>
      <c r="C5" s="5" t="s">
        <v>230</v>
      </c>
      <c r="D5" s="5" t="s">
        <v>231</v>
      </c>
    </row>
    <row r="6" spans="1:10" ht="30" customHeight="1">
      <c r="A6" s="3" t="s">
        <v>232</v>
      </c>
      <c r="B6" s="16">
        <f>NAV!B1241-NAV!B3</f>
        <v>0</v>
      </c>
      <c r="C6" s="4" t="s">
        <v>233</v>
      </c>
      <c r="D6" s="4" t="s">
        <v>234</v>
      </c>
    </row>
    <row r="7" spans="1:10" ht="30" customHeight="1">
      <c r="A7" s="3" t="s">
        <v>205</v>
      </c>
      <c r="B7" s="22">
        <f>NAV!B1241</f>
        <v>0</v>
      </c>
      <c r="C7" s="4" t="s">
        <v>235</v>
      </c>
      <c r="D7" s="4"/>
    </row>
    <row r="8" spans="1:10" ht="30" customHeight="1">
      <c r="A8" s="3" t="s">
        <v>236</v>
      </c>
      <c r="B8" s="23">
        <f>NAV!B1241/NAV!B3-1</f>
        <v>0</v>
      </c>
      <c r="C8" s="4" t="s">
        <v>237</v>
      </c>
      <c r="D8" s="4" t="s">
        <v>238</v>
      </c>
    </row>
    <row r="9" spans="1:10" ht="30" customHeight="1">
      <c r="A9" s="3" t="s">
        <v>239</v>
      </c>
      <c r="B9" s="23">
        <f>(NAV!B1241/NAV!B3)^(1/((NAV!A1241-NAV!A6)/365.25))-1</f>
        <v>0</v>
      </c>
      <c r="C9" s="4" t="s">
        <v>240</v>
      </c>
      <c r="D9" s="4" t="s">
        <v>241</v>
      </c>
    </row>
    <row r="10" spans="1:10" ht="74" customHeight="1">
      <c r="A10" s="3" t="s">
        <v>242</v>
      </c>
      <c r="B10" s="23">
        <f>MIN(NAV!J6:NAV!J1241)</f>
        <v>0</v>
      </c>
      <c r="C10" s="4" t="s">
        <v>243</v>
      </c>
      <c r="D10" s="4" t="s">
        <v>244</v>
      </c>
    </row>
    <row r="11" spans="1:10" ht="30" customHeight="1">
      <c r="A11" s="3" t="s">
        <v>216</v>
      </c>
      <c r="B11" s="24">
        <f>STDEV(NAV!D7:NAV!D1241)</f>
        <v>0</v>
      </c>
      <c r="C11" s="4" t="s">
        <v>245</v>
      </c>
      <c r="D11" s="4" t="s">
        <v>246</v>
      </c>
    </row>
    <row r="12" spans="1:10" ht="74" customHeight="1">
      <c r="A12" s="3" t="s">
        <v>247</v>
      </c>
      <c r="B12" s="25">
        <f>((NAV!B1241/NAV!B3)^(1/((NAV!A1241-NAV!A6)/365.25))-1)/STDEV(NAV!D7:NAV!D1241)</f>
        <v>0</v>
      </c>
      <c r="C12" s="4" t="s">
        <v>248</v>
      </c>
      <c r="D12" s="4" t="s">
        <v>249</v>
      </c>
    </row>
    <row r="13" spans="1:10" ht="74" customHeight="1">
      <c r="A13" s="3" t="s">
        <v>250</v>
      </c>
      <c r="B13" s="25">
        <f>((NAV!B1241/NAV!B3)^(1/((NAV!A1241-NAV!A6)/365.25))-1)/(STDEV(NAV!D7:NAV!D1241)*SQRT(252))</f>
        <v>0</v>
      </c>
      <c r="C13" s="4" t="s">
        <v>251</v>
      </c>
      <c r="D13" s="4" t="s">
        <v>252</v>
      </c>
    </row>
    <row r="14" spans="1:10" ht="30" customHeight="1">
      <c r="A14" s="3" t="s">
        <v>253</v>
      </c>
      <c r="B14" s="23">
        <f>STDEV(NAV!D7:NAV!D1241)*SQRT(252)</f>
        <v>0</v>
      </c>
      <c r="C14" s="4" t="s">
        <v>254</v>
      </c>
      <c r="D14" s="4" t="s">
        <v>255</v>
      </c>
    </row>
    <row r="15" spans="1:10" ht="30" customHeight="1">
      <c r="A15" s="3" t="s">
        <v>256</v>
      </c>
      <c r="B15" s="26">
        <f>((NAV!B1241/NAV!B3)^(1/((NAV!A1241-NAV!A6)/365.25))-1)/ABS(MIN(NAV!J6:NAV!J1241))</f>
        <v>0</v>
      </c>
      <c r="C15" s="4" t="s">
        <v>257</v>
      </c>
      <c r="D15" s="4"/>
    </row>
    <row r="17" spans="1:4">
      <c r="A17" s="1" t="s">
        <v>258</v>
      </c>
      <c r="B17" s="1"/>
      <c r="C17" s="1"/>
      <c r="D17" s="1"/>
    </row>
    <row r="18" spans="1:4">
      <c r="A18" s="5" t="s">
        <v>228</v>
      </c>
      <c r="B18" s="5" t="s">
        <v>229</v>
      </c>
      <c r="C18" s="5" t="s">
        <v>230</v>
      </c>
      <c r="D18" s="5" t="s">
        <v>259</v>
      </c>
    </row>
    <row r="19" spans="1:4" ht="62" customHeight="1">
      <c r="A19" s="3" t="s">
        <v>260</v>
      </c>
      <c r="B19" s="14">
        <v>122</v>
      </c>
      <c r="C19" s="4" t="s">
        <v>261</v>
      </c>
      <c r="D19" s="4" t="s">
        <v>262</v>
      </c>
    </row>
    <row r="20" spans="1:4" ht="30" customHeight="1">
      <c r="A20" s="3" t="s">
        <v>263</v>
      </c>
      <c r="B20" s="15">
        <f>'3. Trade Log'!C320</f>
        <v>0</v>
      </c>
      <c r="C20" s="4">
        <f>'3. Trade Log'!C320</f>
        <v>0</v>
      </c>
      <c r="D20" s="4" t="s">
        <v>264</v>
      </c>
    </row>
    <row r="21" spans="1:4" ht="30" customHeight="1">
      <c r="A21" s="3" t="s">
        <v>190</v>
      </c>
      <c r="B21" s="15">
        <f>'3. Trade Log'!C323</f>
        <v>0</v>
      </c>
      <c r="C21" s="4">
        <f>'3. Trade Log'!C323</f>
        <v>0</v>
      </c>
      <c r="D21" s="4" t="s">
        <v>265</v>
      </c>
    </row>
    <row r="22" spans="1:4" ht="30" customHeight="1">
      <c r="A22" s="3" t="s">
        <v>266</v>
      </c>
      <c r="B22" s="15">
        <f>'3. Trade Log'!C320/'3. Trade Log'!C323</f>
        <v>0</v>
      </c>
      <c r="C22" s="4">
        <f>'3. Trade Log'!C320/'3. Trade Log'!C323</f>
        <v>0</v>
      </c>
      <c r="D22" s="4" t="s">
        <v>267</v>
      </c>
    </row>
    <row r="23" spans="1:4" ht="62" customHeight="1">
      <c r="A23" s="3" t="s">
        <v>268</v>
      </c>
      <c r="B23" s="14">
        <v>62.29508196721311</v>
      </c>
      <c r="C23" s="4" t="s">
        <v>261</v>
      </c>
      <c r="D23" s="4" t="s">
        <v>269</v>
      </c>
    </row>
    <row r="24" spans="1:4" ht="62" customHeight="1">
      <c r="A24" s="3" t="s">
        <v>270</v>
      </c>
      <c r="B24" s="14">
        <v>2.09860447722678</v>
      </c>
      <c r="C24" s="4" t="s">
        <v>261</v>
      </c>
      <c r="D24" s="4" t="s">
        <v>271</v>
      </c>
    </row>
    <row r="25" spans="1:4" ht="30" customHeight="1">
      <c r="A25" s="3" t="s">
        <v>272</v>
      </c>
      <c r="B25" s="14">
        <v>227.1843806602431</v>
      </c>
      <c r="C25" s="4" t="s">
        <v>261</v>
      </c>
      <c r="D25" s="4" t="s">
        <v>273</v>
      </c>
    </row>
    <row r="26" spans="1:4" ht="30" customHeight="1">
      <c r="A26" s="3" t="s">
        <v>274</v>
      </c>
      <c r="B26" s="15">
        <f>'3. Trade Log'!G318</f>
        <v>0</v>
      </c>
      <c r="C26" s="4">
        <f>'3. Trade Log'!G318</f>
        <v>0</v>
      </c>
      <c r="D26" s="4" t="s">
        <v>275</v>
      </c>
    </row>
    <row r="27" spans="1:4" ht="62" customHeight="1">
      <c r="A27" s="3" t="s">
        <v>276</v>
      </c>
      <c r="B27" s="14">
        <v>40.9</v>
      </c>
      <c r="C27" s="4" t="s">
        <v>261</v>
      </c>
      <c r="D27" s="4" t="s">
        <v>277</v>
      </c>
    </row>
  </sheetData>
  <mergeCells count="3">
    <mergeCell ref="A1:J1"/>
    <mergeCell ref="A2:J3"/>
    <mergeCell ref="A17:D1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8"/>
  <sheetViews>
    <sheetView workbookViewId="0">
      <pane ySplit="4" topLeftCell="A5" activePane="bottomLeft" state="frozen"/>
      <selection pane="bottomLeft"/>
    </sheetView>
  </sheetViews>
  <sheetFormatPr defaultRowHeight="15"/>
  <cols>
    <col min="1" max="1" width="40.7109375" customWidth="1"/>
    <col min="2" max="4" width="20.7109375" customWidth="1"/>
    <col min="5" max="5" width="62.7109375" customWidth="1"/>
  </cols>
  <sheetData>
    <row r="1" spans="1:10" ht="22" customHeight="1">
      <c r="A1" s="1" t="s">
        <v>278</v>
      </c>
      <c r="B1" s="1"/>
      <c r="C1" s="1"/>
      <c r="D1" s="1"/>
      <c r="E1" s="1"/>
      <c r="F1" s="1"/>
      <c r="G1" s="1"/>
      <c r="H1" s="1"/>
      <c r="I1" s="1"/>
      <c r="J1" s="1"/>
    </row>
    <row r="2" spans="1:10" ht="26" customHeight="1">
      <c r="A2" s="2" t="s">
        <v>279</v>
      </c>
      <c r="B2" s="2"/>
      <c r="C2" s="2"/>
      <c r="D2" s="2"/>
      <c r="E2" s="2"/>
      <c r="F2" s="2"/>
      <c r="G2" s="2"/>
      <c r="H2" s="2"/>
      <c r="I2" s="2"/>
      <c r="J2" s="2"/>
    </row>
    <row r="3" spans="1:10">
      <c r="A3" s="2"/>
      <c r="B3" s="2"/>
      <c r="C3" s="2"/>
      <c r="D3" s="2"/>
      <c r="E3" s="2"/>
      <c r="F3" s="2"/>
      <c r="G3" s="2"/>
      <c r="H3" s="2"/>
      <c r="I3" s="2"/>
      <c r="J3" s="2"/>
    </row>
    <row r="5" spans="1:10">
      <c r="A5" s="5" t="s">
        <v>280</v>
      </c>
      <c r="B5" s="5" t="s">
        <v>281</v>
      </c>
      <c r="C5" s="5" t="s">
        <v>282</v>
      </c>
      <c r="D5" s="5" t="s">
        <v>283</v>
      </c>
      <c r="E5" s="5" t="s">
        <v>284</v>
      </c>
    </row>
    <row r="6" spans="1:10" ht="30" customHeight="1">
      <c r="A6" s="3" t="s">
        <v>285</v>
      </c>
      <c r="B6" s="10">
        <v>42742461.43503534</v>
      </c>
      <c r="C6" s="10">
        <v>21647189.7304308</v>
      </c>
      <c r="D6" s="10">
        <v>28183691.80301655</v>
      </c>
      <c r="E6" s="4" t="s">
        <v>286</v>
      </c>
    </row>
    <row r="7" spans="1:10" ht="30" customHeight="1">
      <c r="A7" s="3" t="s">
        <v>287</v>
      </c>
      <c r="B7" s="10">
        <v>32742461.43503534</v>
      </c>
      <c r="C7" s="10">
        <v>11647189.7304308</v>
      </c>
      <c r="D7" s="10">
        <v>18183691.80301655</v>
      </c>
      <c r="E7" s="4" t="s">
        <v>288</v>
      </c>
    </row>
    <row r="8" spans="1:10" ht="30" customHeight="1">
      <c r="A8" s="3" t="s">
        <v>289</v>
      </c>
      <c r="B8" s="27">
        <v>327.4246143503534</v>
      </c>
      <c r="C8" s="27">
        <v>116.471897304308</v>
      </c>
      <c r="D8" s="27">
        <v>181.8369180301655</v>
      </c>
      <c r="E8" s="4" t="s">
        <v>290</v>
      </c>
    </row>
    <row r="9" spans="1:10" ht="30" customHeight="1">
      <c r="A9" s="3" t="s">
        <v>291</v>
      </c>
      <c r="B9" s="27">
        <v>33.76583343106014</v>
      </c>
      <c r="C9" s="27">
        <v>16.71488598851521</v>
      </c>
      <c r="D9" s="27">
        <v>22.82523147976034</v>
      </c>
      <c r="E9" s="4" t="s">
        <v>292</v>
      </c>
    </row>
    <row r="10" spans="1:10" ht="30" customHeight="1">
      <c r="A10" s="3" t="s">
        <v>293</v>
      </c>
      <c r="B10" s="27">
        <v>-24.46109744428892</v>
      </c>
      <c r="C10" s="27">
        <v>-18.4355797475671</v>
      </c>
      <c r="D10" s="27">
        <v>-22.58961878870089</v>
      </c>
      <c r="E10" s="4" t="s">
        <v>294</v>
      </c>
    </row>
    <row r="11" spans="1:10" ht="30" customHeight="1">
      <c r="A11" s="3" t="s">
        <v>295</v>
      </c>
      <c r="B11" s="27">
        <v>30.07014064688906</v>
      </c>
      <c r="C11" s="27">
        <v>18.44792595369205</v>
      </c>
      <c r="D11" s="27">
        <v>22.57965472373463</v>
      </c>
      <c r="E11" s="4" t="s">
        <v>296</v>
      </c>
    </row>
    <row r="12" spans="1:10" ht="30" customHeight="1">
      <c r="A12" s="3" t="s">
        <v>297</v>
      </c>
      <c r="B12" s="27">
        <v>1.894240810485794</v>
      </c>
      <c r="C12" s="27">
        <v>1.162110101866744</v>
      </c>
      <c r="D12" s="27">
        <v>1.422384549731111</v>
      </c>
      <c r="E12" s="4" t="s">
        <v>298</v>
      </c>
    </row>
    <row r="13" spans="1:10" ht="30" customHeight="1">
      <c r="A13" s="3" t="s">
        <v>299</v>
      </c>
      <c r="B13" s="27">
        <v>17.8255231563724</v>
      </c>
      <c r="C13" s="27">
        <v>14.38322062743059</v>
      </c>
      <c r="D13" s="27">
        <v>16.04715931713069</v>
      </c>
      <c r="E13" s="4"/>
    </row>
    <row r="15" spans="1:10">
      <c r="A15" s="3" t="s">
        <v>300</v>
      </c>
      <c r="B15" s="14">
        <v>0.9687557919027865</v>
      </c>
      <c r="E15" s="4" t="s">
        <v>301</v>
      </c>
    </row>
    <row r="16" spans="1:10">
      <c r="A16" s="3" t="s">
        <v>302</v>
      </c>
      <c r="B16" s="14">
        <v>14.99511140116221</v>
      </c>
      <c r="E16" s="4" t="s">
        <v>303</v>
      </c>
    </row>
    <row r="17" spans="1:5">
      <c r="A17" s="3" t="s">
        <v>304</v>
      </c>
      <c r="B17" s="14">
        <v>1.300511471724179</v>
      </c>
      <c r="E17" s="4" t="s">
        <v>305</v>
      </c>
    </row>
    <row r="18" spans="1:5">
      <c r="A18" s="3" t="s">
        <v>306</v>
      </c>
      <c r="B18" s="14">
        <v>11.12652948963647</v>
      </c>
    </row>
    <row r="20" spans="1:5">
      <c r="A20" s="1" t="s">
        <v>307</v>
      </c>
      <c r="B20" s="1"/>
      <c r="C20" s="1"/>
      <c r="D20" s="1"/>
      <c r="E20" s="1"/>
    </row>
    <row r="21" spans="1:5">
      <c r="A21" s="5" t="s">
        <v>308</v>
      </c>
      <c r="B21" s="5" t="s">
        <v>309</v>
      </c>
      <c r="C21" s="5" t="s">
        <v>310</v>
      </c>
      <c r="D21" s="5" t="s">
        <v>311</v>
      </c>
      <c r="E21" s="5" t="s">
        <v>312</v>
      </c>
    </row>
    <row r="22" spans="1:5">
      <c r="A22" s="7">
        <v>2021</v>
      </c>
      <c r="B22" s="14">
        <v>61.26039854076279</v>
      </c>
      <c r="C22" s="14">
        <v>29.77238165323468</v>
      </c>
      <c r="D22" s="14">
        <v>46.88593342275902</v>
      </c>
      <c r="E22" s="14">
        <v>-11.84932173552867</v>
      </c>
    </row>
    <row r="23" spans="1:5">
      <c r="A23" s="7">
        <v>2022</v>
      </c>
      <c r="B23" s="14">
        <v>11.25157411114619</v>
      </c>
      <c r="C23" s="14">
        <v>2.803634006191991</v>
      </c>
      <c r="D23" s="14">
        <v>3.063812270878663</v>
      </c>
      <c r="E23" s="14">
        <v>-19.27968335195593</v>
      </c>
    </row>
    <row r="24" spans="1:5">
      <c r="A24" s="7">
        <v>2023</v>
      </c>
      <c r="B24" s="14">
        <v>58.90126903544486</v>
      </c>
      <c r="C24" s="14">
        <v>26.6197291030885</v>
      </c>
      <c r="D24" s="14">
        <v>41.92879583471137</v>
      </c>
      <c r="E24" s="14">
        <v>-5.825574489410323</v>
      </c>
    </row>
    <row r="25" spans="1:5">
      <c r="A25" s="7">
        <v>2024</v>
      </c>
      <c r="B25" s="14">
        <v>56.04216342699655</v>
      </c>
      <c r="C25" s="14">
        <v>16.50921812391559</v>
      </c>
      <c r="D25" s="14">
        <v>23.71603610699615</v>
      </c>
      <c r="E25" s="14">
        <v>-13.00558924896423</v>
      </c>
    </row>
    <row r="26" spans="1:5">
      <c r="A26" s="7">
        <v>2025</v>
      </c>
      <c r="B26" s="14">
        <v>-4.299553562499536</v>
      </c>
      <c r="C26" s="14">
        <v>7.948514422768338</v>
      </c>
      <c r="D26" s="14">
        <v>2.324756441796527</v>
      </c>
      <c r="E26" s="14">
        <v>-20.24502163380065</v>
      </c>
    </row>
    <row r="27" spans="1:5">
      <c r="A27" s="7">
        <v>2026</v>
      </c>
      <c r="B27" s="14">
        <v>-0.9976036335591298</v>
      </c>
      <c r="C27" s="14">
        <v>-3.126217638142781</v>
      </c>
      <c r="D27" s="14">
        <v>1.684264490671206</v>
      </c>
      <c r="E27" s="14">
        <v>-14.73070169008743</v>
      </c>
    </row>
    <row r="28" spans="1:5">
      <c r="A28" s="2" t="s">
        <v>313</v>
      </c>
    </row>
  </sheetData>
  <mergeCells count="3">
    <mergeCell ref="A1:J1"/>
    <mergeCell ref="A2:J3"/>
    <mergeCell ref="A20:E2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20"/>
  <sheetViews>
    <sheetView workbookViewId="0">
      <pane ySplit="4" topLeftCell="A5" activePane="bottomLeft" state="frozen"/>
      <selection pane="bottomLeft"/>
    </sheetView>
  </sheetViews>
  <sheetFormatPr defaultRowHeight="15"/>
  <cols>
    <col min="1" max="1" width="34.7109375" customWidth="1"/>
    <col min="2" max="2" width="20.7109375" customWidth="1"/>
    <col min="3" max="3" width="62.7109375" customWidth="1"/>
    <col min="4" max="4" width="56.7109375" customWidth="1"/>
  </cols>
  <sheetData>
    <row r="1" spans="1:10" ht="22" customHeight="1">
      <c r="A1" s="1" t="s">
        <v>314</v>
      </c>
      <c r="B1" s="1"/>
      <c r="C1" s="1"/>
      <c r="D1" s="1"/>
      <c r="E1" s="1"/>
      <c r="F1" s="1"/>
      <c r="G1" s="1"/>
      <c r="H1" s="1"/>
      <c r="I1" s="1"/>
      <c r="J1" s="1"/>
    </row>
    <row r="2" spans="1:10" ht="26" customHeight="1">
      <c r="A2" s="2" t="s">
        <v>315</v>
      </c>
      <c r="B2" s="2"/>
      <c r="C2" s="2"/>
      <c r="D2" s="2"/>
      <c r="E2" s="2"/>
      <c r="F2" s="2"/>
      <c r="G2" s="2"/>
      <c r="H2" s="2"/>
      <c r="I2" s="2"/>
      <c r="J2" s="2"/>
    </row>
    <row r="3" spans="1:10">
      <c r="A3" s="2"/>
      <c r="B3" s="2"/>
      <c r="C3" s="2"/>
      <c r="D3" s="2"/>
      <c r="E3" s="2"/>
      <c r="F3" s="2"/>
      <c r="G3" s="2"/>
      <c r="H3" s="2"/>
      <c r="I3" s="2"/>
      <c r="J3" s="2"/>
    </row>
    <row r="5" spans="1:10">
      <c r="A5" s="5" t="s">
        <v>316</v>
      </c>
      <c r="B5" s="5" t="s">
        <v>317</v>
      </c>
      <c r="C5" s="5" t="s">
        <v>318</v>
      </c>
      <c r="D5" s="5" t="s">
        <v>319</v>
      </c>
    </row>
    <row r="6" spans="1:10" ht="46" customHeight="1">
      <c r="A6" s="3" t="s">
        <v>320</v>
      </c>
      <c r="B6" s="4" t="s">
        <v>321</v>
      </c>
      <c r="C6" s="4" t="s">
        <v>322</v>
      </c>
      <c r="D6" s="4" t="s">
        <v>323</v>
      </c>
    </row>
    <row r="7" spans="1:10" ht="46" customHeight="1">
      <c r="A7" s="3" t="s">
        <v>324</v>
      </c>
      <c r="B7" s="4" t="s">
        <v>321</v>
      </c>
      <c r="C7" s="4" t="s">
        <v>325</v>
      </c>
      <c r="D7" s="4" t="s">
        <v>326</v>
      </c>
    </row>
    <row r="8" spans="1:10" ht="72" customHeight="1">
      <c r="A8" s="3" t="s">
        <v>327</v>
      </c>
      <c r="B8" s="4" t="s">
        <v>328</v>
      </c>
      <c r="C8" s="4" t="s">
        <v>329</v>
      </c>
      <c r="D8" s="4" t="s">
        <v>330</v>
      </c>
    </row>
    <row r="9" spans="1:10" ht="46" customHeight="1">
      <c r="A9" s="3" t="s">
        <v>331</v>
      </c>
      <c r="B9" s="4" t="s">
        <v>321</v>
      </c>
      <c r="C9" s="4" t="s">
        <v>332</v>
      </c>
      <c r="D9" s="4" t="s">
        <v>333</v>
      </c>
    </row>
    <row r="10" spans="1:10" ht="72" customHeight="1">
      <c r="A10" s="3" t="s">
        <v>334</v>
      </c>
      <c r="B10" s="4" t="s">
        <v>328</v>
      </c>
      <c r="C10" s="4" t="s">
        <v>335</v>
      </c>
      <c r="D10" s="4" t="s">
        <v>336</v>
      </c>
    </row>
    <row r="11" spans="1:10" ht="46" customHeight="1">
      <c r="A11" s="3" t="s">
        <v>337</v>
      </c>
      <c r="B11" s="4" t="s">
        <v>328</v>
      </c>
      <c r="C11" s="4" t="s">
        <v>338</v>
      </c>
      <c r="D11" s="4" t="s">
        <v>339</v>
      </c>
    </row>
    <row r="12" spans="1:10" ht="46" customHeight="1">
      <c r="A12" s="3" t="s">
        <v>340</v>
      </c>
      <c r="B12" s="4" t="s">
        <v>328</v>
      </c>
      <c r="C12" s="4" t="s">
        <v>341</v>
      </c>
      <c r="D12" s="4" t="s">
        <v>342</v>
      </c>
    </row>
    <row r="13" spans="1:10" ht="72" customHeight="1">
      <c r="A13" s="3" t="s">
        <v>343</v>
      </c>
      <c r="B13" s="4" t="s">
        <v>328</v>
      </c>
      <c r="C13" s="4" t="s">
        <v>344</v>
      </c>
      <c r="D13" s="4" t="s">
        <v>345</v>
      </c>
    </row>
    <row r="14" spans="1:10" ht="72" customHeight="1">
      <c r="A14" s="3" t="s">
        <v>346</v>
      </c>
      <c r="B14" s="4" t="s">
        <v>328</v>
      </c>
      <c r="C14" s="4" t="s">
        <v>347</v>
      </c>
      <c r="D14" s="4" t="s">
        <v>348</v>
      </c>
    </row>
    <row r="15" spans="1:10" ht="46" customHeight="1">
      <c r="A15" s="3" t="s">
        <v>349</v>
      </c>
      <c r="B15" s="4" t="s">
        <v>328</v>
      </c>
      <c r="C15" s="4" t="s">
        <v>350</v>
      </c>
      <c r="D15" s="4" t="s">
        <v>351</v>
      </c>
    </row>
    <row r="16" spans="1:10" ht="72" customHeight="1">
      <c r="A16" s="3" t="s">
        <v>352</v>
      </c>
      <c r="B16" s="4" t="s">
        <v>328</v>
      </c>
      <c r="C16" s="4" t="s">
        <v>353</v>
      </c>
      <c r="D16" s="4" t="s">
        <v>354</v>
      </c>
    </row>
    <row r="17" spans="1:4" ht="72" customHeight="1">
      <c r="A17" s="3" t="s">
        <v>355</v>
      </c>
      <c r="B17" s="4" t="s">
        <v>356</v>
      </c>
      <c r="C17" s="4" t="s">
        <v>357</v>
      </c>
      <c r="D17" s="4" t="s">
        <v>358</v>
      </c>
    </row>
    <row r="18" spans="1:4" ht="72" customHeight="1">
      <c r="A18" s="3" t="s">
        <v>359</v>
      </c>
      <c r="B18" s="4" t="s">
        <v>360</v>
      </c>
      <c r="C18" s="4" t="s">
        <v>361</v>
      </c>
      <c r="D18" s="4" t="s">
        <v>362</v>
      </c>
    </row>
    <row r="19" spans="1:4" ht="46" customHeight="1">
      <c r="A19" s="3" t="s">
        <v>363</v>
      </c>
      <c r="B19" s="4" t="s">
        <v>360</v>
      </c>
      <c r="C19" s="4" t="s">
        <v>364</v>
      </c>
      <c r="D19" s="4" t="s">
        <v>365</v>
      </c>
    </row>
    <row r="20" spans="1:4" ht="46" customHeight="1">
      <c r="A20" s="3" t="s">
        <v>366</v>
      </c>
      <c r="B20" s="4" t="s">
        <v>328</v>
      </c>
      <c r="C20" s="4" t="s">
        <v>367</v>
      </c>
      <c r="D20" s="4" t="s">
        <v>368</v>
      </c>
    </row>
  </sheetData>
  <mergeCells count="2">
    <mergeCell ref="A1:J1"/>
    <mergeCell ref="A2:J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6"/>
  <sheetViews>
    <sheetView workbookViewId="0">
      <pane ySplit="4" topLeftCell="A5" activePane="bottomLeft" state="frozen"/>
      <selection pane="bottomLeft"/>
    </sheetView>
  </sheetViews>
  <sheetFormatPr defaultRowHeight="15"/>
  <cols>
    <col min="1" max="1" width="42.7109375" customWidth="1"/>
    <col min="2" max="3" width="20.7109375" customWidth="1"/>
    <col min="4" max="4" width="74.7109375" customWidth="1"/>
  </cols>
  <sheetData>
    <row r="1" spans="1:10" ht="22" customHeight="1">
      <c r="A1" s="1" t="s">
        <v>369</v>
      </c>
      <c r="B1" s="1"/>
      <c r="C1" s="1"/>
      <c r="D1" s="1"/>
      <c r="E1" s="1"/>
      <c r="F1" s="1"/>
      <c r="G1" s="1"/>
      <c r="H1" s="1"/>
      <c r="I1" s="1"/>
      <c r="J1" s="1"/>
    </row>
    <row r="2" spans="1:10" ht="26" customHeight="1">
      <c r="A2" s="2" t="s">
        <v>370</v>
      </c>
      <c r="B2" s="2"/>
      <c r="C2" s="2"/>
      <c r="D2" s="2"/>
      <c r="E2" s="2"/>
      <c r="F2" s="2"/>
      <c r="G2" s="2"/>
      <c r="H2" s="2"/>
      <c r="I2" s="2"/>
      <c r="J2" s="2"/>
    </row>
    <row r="3" spans="1:10">
      <c r="A3" s="2"/>
      <c r="B3" s="2"/>
      <c r="C3" s="2"/>
      <c r="D3" s="2"/>
      <c r="E3" s="2"/>
      <c r="F3" s="2"/>
      <c r="G3" s="2"/>
      <c r="H3" s="2"/>
      <c r="I3" s="2"/>
      <c r="J3" s="2"/>
    </row>
    <row r="5" spans="1:10" ht="44" customHeight="1">
      <c r="A5" s="3" t="s">
        <v>371</v>
      </c>
      <c r="B5" s="18" t="s">
        <v>372</v>
      </c>
      <c r="D5" s="4" t="s">
        <v>373</v>
      </c>
    </row>
    <row r="6" spans="1:10">
      <c r="A6" s="3" t="s">
        <v>374</v>
      </c>
      <c r="B6" s="18" t="s">
        <v>375</v>
      </c>
    </row>
    <row r="8" spans="1:10">
      <c r="A8" s="5" t="s">
        <v>376</v>
      </c>
      <c r="B8" s="5" t="s">
        <v>377</v>
      </c>
      <c r="C8" s="5" t="s">
        <v>282</v>
      </c>
      <c r="D8" s="5" t="s">
        <v>284</v>
      </c>
    </row>
    <row r="9" spans="1:10" ht="44" customHeight="1">
      <c r="A9" s="3" t="s">
        <v>378</v>
      </c>
      <c r="B9" s="28">
        <v>-0.9976036335591187</v>
      </c>
      <c r="C9" s="28">
        <v>-4.045050037605091</v>
      </c>
      <c r="D9" s="4" t="s">
        <v>379</v>
      </c>
    </row>
    <row r="10" spans="1:10" ht="44" customHeight="1">
      <c r="A10" s="3" t="s">
        <v>380</v>
      </c>
      <c r="B10" s="28">
        <v>-109650.7126432676</v>
      </c>
      <c r="C10" s="28">
        <v>-404048.0754273552</v>
      </c>
      <c r="D10" s="4" t="s">
        <v>381</v>
      </c>
    </row>
    <row r="11" spans="1:10" ht="44" customHeight="1">
      <c r="A11" s="3" t="s">
        <v>293</v>
      </c>
      <c r="B11" s="28">
        <v>-14.73070169008743</v>
      </c>
      <c r="C11" s="28">
        <v>-14.58564357824057</v>
      </c>
      <c r="D11" s="4" t="s">
        <v>382</v>
      </c>
    </row>
    <row r="12" spans="1:10" ht="44" customHeight="1">
      <c r="A12" s="3" t="s">
        <v>383</v>
      </c>
      <c r="B12" s="28">
        <v>-0.09083503567653627</v>
      </c>
      <c r="C12" s="28">
        <v>-0.4477692428031694</v>
      </c>
      <c r="D12" s="4" t="s">
        <v>384</v>
      </c>
    </row>
    <row r="13" spans="1:10" ht="44" customHeight="1">
      <c r="A13" s="3" t="s">
        <v>385</v>
      </c>
      <c r="B13" s="28">
        <v>17</v>
      </c>
      <c r="C13" s="9" t="s">
        <v>386</v>
      </c>
      <c r="D13" s="4" t="s">
        <v>387</v>
      </c>
    </row>
    <row r="14" spans="1:10" ht="44" customHeight="1">
      <c r="A14" s="3" t="s">
        <v>388</v>
      </c>
      <c r="B14" s="28">
        <v>52.94117647058824</v>
      </c>
      <c r="C14" s="9" t="s">
        <v>386</v>
      </c>
      <c r="D14" s="4" t="s">
        <v>389</v>
      </c>
    </row>
    <row r="15" spans="1:10" ht="44" customHeight="1">
      <c r="A15" s="3" t="s">
        <v>390</v>
      </c>
      <c r="B15" s="28">
        <v>0.8076354016700718</v>
      </c>
      <c r="C15" s="9" t="s">
        <v>386</v>
      </c>
      <c r="D15" s="4" t="s">
        <v>391</v>
      </c>
    </row>
    <row r="16" spans="1:10" ht="44" customHeight="1">
      <c r="A16" s="3" t="s">
        <v>392</v>
      </c>
      <c r="B16" s="28">
        <v>22309.11985515403</v>
      </c>
      <c r="C16" s="9" t="s">
        <v>386</v>
      </c>
      <c r="D16" s="4" t="s">
        <v>393</v>
      </c>
    </row>
    <row r="17" spans="1:4" ht="44" customHeight="1">
      <c r="A17" s="3" t="s">
        <v>394</v>
      </c>
      <c r="B17" s="28">
        <v>1.684264490671206</v>
      </c>
      <c r="C17" s="9" t="s">
        <v>386</v>
      </c>
      <c r="D17" s="4" t="s">
        <v>395</v>
      </c>
    </row>
    <row r="19" spans="1:4">
      <c r="A19" s="1" t="s">
        <v>396</v>
      </c>
      <c r="B19" s="1"/>
      <c r="C19" s="1"/>
      <c r="D19" s="1"/>
    </row>
    <row r="20" spans="1:4" ht="40" customHeight="1">
      <c r="A20" s="4" t="s">
        <v>397</v>
      </c>
      <c r="B20" s="4"/>
      <c r="C20" s="4"/>
      <c r="D20" s="4"/>
    </row>
    <row r="21" spans="1:4" ht="40" customHeight="1">
      <c r="A21" s="4"/>
      <c r="B21" s="4"/>
      <c r="C21" s="4"/>
      <c r="D21" s="4"/>
    </row>
    <row r="22" spans="1:4">
      <c r="A22" s="4"/>
      <c r="B22" s="4"/>
      <c r="C22" s="4"/>
      <c r="D22" s="4"/>
    </row>
    <row r="24" spans="1:4" ht="44" customHeight="1">
      <c r="A24" s="4" t="s">
        <v>398</v>
      </c>
      <c r="B24" s="4"/>
      <c r="C24" s="4"/>
      <c r="D24" s="4"/>
    </row>
    <row r="25" spans="1:4" ht="44" customHeight="1">
      <c r="A25" s="4"/>
      <c r="B25" s="4"/>
      <c r="C25" s="4"/>
      <c r="D25" s="4"/>
    </row>
    <row r="26" spans="1:4">
      <c r="A26" s="4"/>
      <c r="B26" s="4"/>
      <c r="C26" s="4"/>
      <c r="D26" s="4"/>
    </row>
  </sheetData>
  <mergeCells count="5">
    <mergeCell ref="A1:J1"/>
    <mergeCell ref="A2:J3"/>
    <mergeCell ref="A19:D19"/>
    <mergeCell ref="A20:D22"/>
    <mergeCell ref="A24:D2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34"/>
  <sheetViews>
    <sheetView workbookViewId="0">
      <pane ySplit="4" topLeftCell="A5" activePane="bottomLeft" state="frozen"/>
      <selection pane="bottomLeft"/>
    </sheetView>
  </sheetViews>
  <sheetFormatPr defaultRowHeight="15"/>
  <cols>
    <col min="1" max="1" width="44.7109375" customWidth="1"/>
    <col min="2" max="3" width="22.7109375" customWidth="1"/>
    <col min="4" max="4" width="70.7109375" customWidth="1"/>
  </cols>
  <sheetData>
    <row r="1" spans="1:10" ht="22" customHeight="1">
      <c r="A1" s="1" t="s">
        <v>399</v>
      </c>
      <c r="B1" s="1"/>
      <c r="C1" s="1"/>
      <c r="D1" s="1"/>
      <c r="E1" s="1"/>
      <c r="F1" s="1"/>
      <c r="G1" s="1"/>
      <c r="H1" s="1"/>
      <c r="I1" s="1"/>
      <c r="J1" s="1"/>
    </row>
    <row r="2" spans="1:10" ht="26" customHeight="1">
      <c r="A2" s="2" t="s">
        <v>400</v>
      </c>
      <c r="B2" s="2"/>
      <c r="C2" s="2"/>
      <c r="D2" s="2"/>
      <c r="E2" s="2"/>
      <c r="F2" s="2"/>
      <c r="G2" s="2"/>
      <c r="H2" s="2"/>
      <c r="I2" s="2"/>
      <c r="J2" s="2"/>
    </row>
    <row r="3" spans="1:10">
      <c r="A3" s="2"/>
      <c r="B3" s="2"/>
      <c r="C3" s="2"/>
      <c r="D3" s="2"/>
      <c r="E3" s="2"/>
      <c r="F3" s="2"/>
      <c r="G3" s="2"/>
      <c r="H3" s="2"/>
      <c r="I3" s="2"/>
      <c r="J3" s="2"/>
    </row>
    <row r="5" spans="1:10">
      <c r="A5" s="1" t="s">
        <v>401</v>
      </c>
      <c r="B5" s="1"/>
      <c r="C5" s="1"/>
      <c r="D5" s="1"/>
    </row>
    <row r="6" spans="1:10" ht="60" customHeight="1">
      <c r="A6" s="2" t="s">
        <v>402</v>
      </c>
      <c r="B6" s="2"/>
      <c r="C6" s="2"/>
      <c r="D6" s="2"/>
    </row>
    <row r="7" spans="1:10">
      <c r="A7" s="5" t="s">
        <v>403</v>
      </c>
      <c r="B7" s="5" t="s">
        <v>404</v>
      </c>
      <c r="C7" s="5" t="s">
        <v>405</v>
      </c>
      <c r="D7" s="5" t="s">
        <v>284</v>
      </c>
    </row>
    <row r="8" spans="1:10" ht="32" customHeight="1">
      <c r="A8" s="3" t="s">
        <v>285</v>
      </c>
      <c r="B8" s="28">
        <v>41899768.24181785</v>
      </c>
      <c r="C8" s="28">
        <v>55833572.98014952</v>
      </c>
      <c r="D8" s="4" t="s">
        <v>406</v>
      </c>
    </row>
    <row r="9" spans="1:10" ht="32" customHeight="1">
      <c r="A9" s="3" t="s">
        <v>407</v>
      </c>
      <c r="B9" s="28">
        <v>31899768.24181785</v>
      </c>
      <c r="C9" s="28">
        <v>45833572.98014952</v>
      </c>
      <c r="D9" s="4" t="s">
        <v>408</v>
      </c>
    </row>
    <row r="10" spans="1:10" ht="32" customHeight="1">
      <c r="A10" s="3" t="s">
        <v>409</v>
      </c>
      <c r="B10" s="28">
        <v>33.23380579018242</v>
      </c>
      <c r="C10" s="28">
        <v>41.11340572602258</v>
      </c>
      <c r="D10" s="4" t="s">
        <v>410</v>
      </c>
    </row>
    <row r="11" spans="1:10" ht="32" customHeight="1">
      <c r="A11" s="3" t="s">
        <v>293</v>
      </c>
      <c r="B11" s="28">
        <v>-32.65110222609857</v>
      </c>
      <c r="C11" s="28">
        <v>-33.61351227532212</v>
      </c>
      <c r="D11" s="4" t="s">
        <v>411</v>
      </c>
    </row>
    <row r="12" spans="1:10" ht="32" customHeight="1">
      <c r="A12" s="3" t="s">
        <v>412</v>
      </c>
      <c r="B12" s="28">
        <v>1.518927548430281</v>
      </c>
      <c r="C12" s="28">
        <v>1.770109774034908</v>
      </c>
      <c r="D12" s="4" t="s">
        <v>413</v>
      </c>
    </row>
    <row r="14" spans="1:10" ht="40" customHeight="1">
      <c r="A14" s="4" t="s">
        <v>414</v>
      </c>
      <c r="B14" s="4"/>
      <c r="C14" s="4"/>
      <c r="D14" s="4"/>
    </row>
    <row r="15" spans="1:10" ht="40" customHeight="1">
      <c r="A15" s="4"/>
      <c r="B15" s="4"/>
      <c r="C15" s="4"/>
      <c r="D15" s="4"/>
    </row>
    <row r="16" spans="1:10">
      <c r="A16" s="4"/>
      <c r="B16" s="4"/>
      <c r="C16" s="4"/>
      <c r="D16" s="4"/>
    </row>
    <row r="18" spans="1:4">
      <c r="A18" s="1" t="s">
        <v>415</v>
      </c>
      <c r="B18" s="1"/>
      <c r="C18" s="1"/>
      <c r="D18" s="1"/>
    </row>
    <row r="19" spans="1:4">
      <c r="A19" s="5" t="s">
        <v>416</v>
      </c>
      <c r="B19" s="5" t="s">
        <v>417</v>
      </c>
      <c r="C19" s="5" t="s">
        <v>418</v>
      </c>
      <c r="D19" s="5" t="s">
        <v>419</v>
      </c>
    </row>
    <row r="20" spans="1:4">
      <c r="A20" s="7" t="s">
        <v>135</v>
      </c>
      <c r="B20" s="10">
        <v>2641550.32613647</v>
      </c>
      <c r="C20" s="15">
        <f>B20/32742461.435035*100</f>
        <v>0</v>
      </c>
      <c r="D20" s="7" t="s">
        <v>420</v>
      </c>
    </row>
    <row r="21" spans="1:4">
      <c r="A21" s="7" t="s">
        <v>143</v>
      </c>
      <c r="B21" s="10">
        <v>2321252.3533098</v>
      </c>
      <c r="C21" s="15">
        <f>B21/32742461.435035*100</f>
        <v>0</v>
      </c>
      <c r="D21" s="7" t="s">
        <v>421</v>
      </c>
    </row>
    <row r="22" spans="1:4">
      <c r="A22" s="7" t="s">
        <v>119</v>
      </c>
      <c r="B22" s="10">
        <v>2274270.155986163</v>
      </c>
      <c r="C22" s="15">
        <f>B22/32742461.435035*100</f>
        <v>0</v>
      </c>
      <c r="D22" s="7" t="s">
        <v>422</v>
      </c>
    </row>
    <row r="23" spans="1:4">
      <c r="A23" s="7" t="s">
        <v>147</v>
      </c>
      <c r="B23" s="10">
        <v>2050479.795565776</v>
      </c>
      <c r="C23" s="15">
        <f>B23/32742461.435035*100</f>
        <v>0</v>
      </c>
      <c r="D23" s="7" t="s">
        <v>423</v>
      </c>
    </row>
    <row r="24" spans="1:4">
      <c r="A24" s="7" t="s">
        <v>148</v>
      </c>
      <c r="B24" s="10">
        <v>2037495.297386476</v>
      </c>
      <c r="C24" s="15">
        <f>B24/32742461.435035*100</f>
        <v>0</v>
      </c>
      <c r="D24" s="7" t="s">
        <v>424</v>
      </c>
    </row>
    <row r="25" spans="1:4">
      <c r="A25" s="7" t="s">
        <v>149</v>
      </c>
      <c r="B25" s="10">
        <v>1923995.215561735</v>
      </c>
      <c r="C25" s="15">
        <f>B25/32742461.435035*100</f>
        <v>0</v>
      </c>
      <c r="D25" s="7" t="s">
        <v>425</v>
      </c>
    </row>
    <row r="26" spans="1:4">
      <c r="A26" s="7" t="s">
        <v>119</v>
      </c>
      <c r="B26" s="10">
        <v>1616040.346050723</v>
      </c>
      <c r="C26" s="15">
        <f>B26/32742461.435035*100</f>
        <v>0</v>
      </c>
      <c r="D26" s="7" t="s">
        <v>426</v>
      </c>
    </row>
    <row r="27" spans="1:4">
      <c r="A27" s="7" t="s">
        <v>131</v>
      </c>
      <c r="B27" s="10">
        <v>1499288.669695437</v>
      </c>
      <c r="C27" s="15">
        <f>B27/32742461.435035*100</f>
        <v>0</v>
      </c>
      <c r="D27" s="7" t="s">
        <v>427</v>
      </c>
    </row>
    <row r="28" spans="1:4">
      <c r="A28" s="7" t="s">
        <v>138</v>
      </c>
      <c r="B28" s="10">
        <v>1285103.125136222</v>
      </c>
      <c r="C28" s="15">
        <f>B28/32742461.435035*100</f>
        <v>0</v>
      </c>
      <c r="D28" s="7" t="s">
        <v>428</v>
      </c>
    </row>
    <row r="29" spans="1:4">
      <c r="A29" s="7" t="s">
        <v>116</v>
      </c>
      <c r="B29" s="10">
        <v>1176723.145945631</v>
      </c>
      <c r="C29" s="15">
        <f>B29/32742461.435035*100</f>
        <v>0</v>
      </c>
      <c r="D29" s="7" t="s">
        <v>429</v>
      </c>
    </row>
    <row r="30" spans="1:4">
      <c r="A30" s="3" t="s">
        <v>430</v>
      </c>
      <c r="C30" s="29">
        <f>SUM(B20:B24)/32742461.435035*100</f>
        <v>0</v>
      </c>
      <c r="D30" s="4" t="s">
        <v>431</v>
      </c>
    </row>
    <row r="32" spans="1:4" ht="40" customHeight="1">
      <c r="A32" s="4" t="s">
        <v>432</v>
      </c>
      <c r="B32" s="4"/>
      <c r="C32" s="4"/>
      <c r="D32" s="4"/>
    </row>
    <row r="33" spans="1:4" ht="40" customHeight="1">
      <c r="A33" s="4"/>
      <c r="B33" s="4"/>
      <c r="C33" s="4"/>
      <c r="D33" s="4"/>
    </row>
    <row r="34" spans="1:4">
      <c r="A34" s="4"/>
      <c r="B34" s="4"/>
      <c r="C34" s="4"/>
      <c r="D34" s="4"/>
    </row>
  </sheetData>
  <mergeCells count="7">
    <mergeCell ref="A1:J1"/>
    <mergeCell ref="A2:J3"/>
    <mergeCell ref="A5:D5"/>
    <mergeCell ref="A6:D6"/>
    <mergeCell ref="A14:D16"/>
    <mergeCell ref="A18:D18"/>
    <mergeCell ref="A32:D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2"/>
  <sheetViews>
    <sheetView workbookViewId="0">
      <pane ySplit="4" topLeftCell="A5" activePane="bottomLeft" state="frozen"/>
      <selection pane="bottomLeft"/>
    </sheetView>
  </sheetViews>
  <sheetFormatPr defaultRowHeight="15"/>
  <cols>
    <col min="1" max="1" width="26.7109375" customWidth="1"/>
    <col min="2" max="8" width="14.7109375" customWidth="1"/>
    <col min="9" max="9" width="60.7109375" customWidth="1"/>
  </cols>
  <sheetData>
    <row r="1" spans="1:10" ht="22" customHeight="1">
      <c r="A1" s="1" t="s">
        <v>433</v>
      </c>
      <c r="B1" s="1"/>
      <c r="C1" s="1"/>
      <c r="D1" s="1"/>
      <c r="E1" s="1"/>
      <c r="F1" s="1"/>
      <c r="G1" s="1"/>
      <c r="H1" s="1"/>
      <c r="I1" s="1"/>
      <c r="J1" s="1"/>
    </row>
    <row r="2" spans="1:10" ht="26" customHeight="1">
      <c r="A2" s="2" t="s">
        <v>434</v>
      </c>
      <c r="B2" s="2"/>
      <c r="C2" s="2"/>
      <c r="D2" s="2"/>
      <c r="E2" s="2"/>
      <c r="F2" s="2"/>
      <c r="G2" s="2"/>
      <c r="H2" s="2"/>
      <c r="I2" s="2"/>
      <c r="J2" s="2"/>
    </row>
    <row r="3" spans="1:10">
      <c r="A3" s="2"/>
      <c r="B3" s="2"/>
      <c r="C3" s="2"/>
      <c r="D3" s="2"/>
      <c r="E3" s="2"/>
      <c r="F3" s="2"/>
      <c r="G3" s="2"/>
      <c r="H3" s="2"/>
      <c r="I3" s="2"/>
      <c r="J3" s="2"/>
    </row>
    <row r="5" spans="1:10">
      <c r="A5" s="1" t="s">
        <v>435</v>
      </c>
      <c r="B5" s="1"/>
      <c r="C5" s="1"/>
      <c r="D5" s="1"/>
      <c r="E5" s="1"/>
      <c r="F5" s="1"/>
      <c r="G5" s="1"/>
      <c r="H5" s="1"/>
      <c r="I5" s="1"/>
    </row>
    <row r="6" spans="1:10">
      <c r="A6" s="5" t="s">
        <v>436</v>
      </c>
      <c r="B6" s="5" t="s">
        <v>437</v>
      </c>
      <c r="C6" s="5" t="s">
        <v>438</v>
      </c>
      <c r="D6" s="5" t="s">
        <v>439</v>
      </c>
      <c r="E6" s="5" t="s">
        <v>440</v>
      </c>
      <c r="F6" s="5" t="s">
        <v>441</v>
      </c>
      <c r="G6" s="5" t="s">
        <v>442</v>
      </c>
      <c r="H6" s="5" t="s">
        <v>443</v>
      </c>
      <c r="I6" s="5" t="s">
        <v>444</v>
      </c>
    </row>
    <row r="7" spans="1:10" ht="46" customHeight="1">
      <c r="A7" s="3" t="s">
        <v>445</v>
      </c>
      <c r="B7" s="14">
        <v>245.3429088583291</v>
      </c>
      <c r="C7" s="14">
        <v>326.5801073604707</v>
      </c>
      <c r="D7" s="14">
        <v>266.2355615139215</v>
      </c>
      <c r="E7" s="14">
        <v>247.3532901305892</v>
      </c>
      <c r="F7" s="14">
        <v>259.9609817094663</v>
      </c>
      <c r="G7" s="14">
        <v>258.2611283375668</v>
      </c>
      <c r="H7" s="29">
        <f>STDEV(B7:G7)</f>
        <v>0</v>
      </c>
      <c r="I7" s="4" t="s">
        <v>446</v>
      </c>
    </row>
    <row r="8" spans="1:10" ht="46" customHeight="1">
      <c r="A8" s="3" t="s">
        <v>447</v>
      </c>
      <c r="B8" s="14">
        <v>397.2069503929986</v>
      </c>
      <c r="C8" s="14">
        <v>310.8969269607173</v>
      </c>
      <c r="D8" s="14">
        <v>436.1087717257309</v>
      </c>
      <c r="E8" s="14">
        <v>246.910464057794</v>
      </c>
      <c r="F8" s="14">
        <v>351.2023111548783</v>
      </c>
      <c r="G8" s="14">
        <v>314.9748491364147</v>
      </c>
      <c r="H8" s="29">
        <f>STDEV(B8:G8)</f>
        <v>0</v>
      </c>
      <c r="I8" s="4" t="s">
        <v>448</v>
      </c>
    </row>
    <row r="9" spans="1:10" ht="46" customHeight="1">
      <c r="A9" s="3" t="s">
        <v>449</v>
      </c>
      <c r="B9" s="14">
        <v>426.9612586313643</v>
      </c>
      <c r="C9" s="14">
        <v>373.6540646817469</v>
      </c>
      <c r="D9" s="14">
        <v>355.8428329583684</v>
      </c>
      <c r="E9" s="14">
        <v>222.5152542987106</v>
      </c>
      <c r="F9" s="14">
        <v>243.3771398605701</v>
      </c>
      <c r="G9" s="14">
        <v>319.9570248502556</v>
      </c>
      <c r="H9" s="29">
        <f>STDEV(B9:G9)</f>
        <v>0</v>
      </c>
      <c r="I9" s="4" t="s">
        <v>450</v>
      </c>
    </row>
    <row r="10" spans="1:10" ht="46" customHeight="1">
      <c r="A10" s="3" t="s">
        <v>451</v>
      </c>
      <c r="B10" s="14">
        <v>270.176365751107</v>
      </c>
      <c r="C10" s="14">
        <v>367.447476983988</v>
      </c>
      <c r="D10" s="14">
        <v>347.0083327479277</v>
      </c>
      <c r="E10" s="14">
        <v>182.2610571871248</v>
      </c>
      <c r="F10" s="14">
        <v>246.7709756367884</v>
      </c>
      <c r="G10" s="14">
        <v>308.2413341467578</v>
      </c>
      <c r="H10" s="29">
        <f>STDEV(B10:G10)</f>
        <v>0</v>
      </c>
      <c r="I10" s="4" t="s">
        <v>452</v>
      </c>
    </row>
    <row r="11" spans="1:10" ht="46" customHeight="1">
      <c r="A11" s="3" t="s">
        <v>453</v>
      </c>
      <c r="B11" s="14">
        <v>382.5358372163684</v>
      </c>
      <c r="C11" s="14">
        <v>400.6873992151124</v>
      </c>
      <c r="D11" s="14">
        <v>352.7218234566681</v>
      </c>
      <c r="E11" s="14">
        <v>174.0276142959388</v>
      </c>
      <c r="F11" s="14">
        <v>275.7115177854674</v>
      </c>
      <c r="G11" s="14">
        <v>331.1011841189573</v>
      </c>
      <c r="H11" s="29">
        <f>STDEV(B11:G11)</f>
        <v>0</v>
      </c>
      <c r="I11" s="4" t="s">
        <v>454</v>
      </c>
    </row>
    <row r="13" spans="1:10" ht="34" customHeight="1">
      <c r="A13" s="4" t="s">
        <v>455</v>
      </c>
      <c r="B13" s="4"/>
      <c r="C13" s="4"/>
      <c r="D13" s="4"/>
      <c r="E13" s="4"/>
      <c r="F13" s="4"/>
      <c r="G13" s="4"/>
      <c r="H13" s="4"/>
      <c r="I13" s="4"/>
    </row>
    <row r="14" spans="1:10" ht="34" customHeight="1">
      <c r="A14" s="4"/>
      <c r="B14" s="4"/>
      <c r="C14" s="4"/>
      <c r="D14" s="4"/>
      <c r="E14" s="4"/>
      <c r="F14" s="4"/>
      <c r="G14" s="4"/>
      <c r="H14" s="4"/>
      <c r="I14" s="4"/>
    </row>
    <row r="15" spans="1:10">
      <c r="A15" s="4"/>
      <c r="B15" s="4"/>
      <c r="C15" s="4"/>
      <c r="D15" s="4"/>
      <c r="E15" s="4"/>
      <c r="F15" s="4"/>
      <c r="G15" s="4"/>
      <c r="H15" s="4"/>
      <c r="I15" s="4"/>
    </row>
    <row r="17" spans="1:9">
      <c r="A17" s="1" t="s">
        <v>456</v>
      </c>
      <c r="B17" s="1"/>
      <c r="C17" s="1"/>
      <c r="D17" s="1"/>
      <c r="E17" s="1"/>
      <c r="F17" s="1"/>
      <c r="G17" s="1"/>
      <c r="H17" s="1"/>
      <c r="I17" s="1"/>
    </row>
    <row r="18" spans="1:9">
      <c r="A18" s="5" t="s">
        <v>457</v>
      </c>
      <c r="B18" s="5" t="s">
        <v>458</v>
      </c>
      <c r="C18" s="5" t="s">
        <v>459</v>
      </c>
      <c r="D18" s="5" t="s">
        <v>460</v>
      </c>
      <c r="E18" s="5" t="s">
        <v>461</v>
      </c>
      <c r="F18" s="5" t="s">
        <v>462</v>
      </c>
      <c r="G18" s="5" t="s">
        <v>463</v>
      </c>
      <c r="H18" s="5" t="s">
        <v>464</v>
      </c>
      <c r="I18" s="5" t="s">
        <v>284</v>
      </c>
    </row>
    <row r="19" spans="1:9" ht="46" customHeight="1">
      <c r="A19" s="3" t="s">
        <v>465</v>
      </c>
      <c r="B19" s="14">
        <v>273.9232321490978</v>
      </c>
      <c r="C19" s="14">
        <v>30.23323485907912</v>
      </c>
      <c r="D19" s="14">
        <v>-27.15708080121269</v>
      </c>
      <c r="E19" s="14">
        <v>1.655334911438434</v>
      </c>
      <c r="F19" s="14">
        <v>61.53846153846154</v>
      </c>
      <c r="G19" s="14">
        <v>1.780948801204103</v>
      </c>
      <c r="H19" s="14">
        <v>256.4963562921285</v>
      </c>
      <c r="I19" s="4" t="s">
        <v>466</v>
      </c>
    </row>
    <row r="20" spans="1:9" ht="46" customHeight="1">
      <c r="A20" s="3" t="s">
        <v>467</v>
      </c>
      <c r="B20" s="14">
        <v>291.5335770126329</v>
      </c>
      <c r="C20" s="14">
        <v>31.43828342537633</v>
      </c>
      <c r="D20" s="14">
        <v>-28.74829483487374</v>
      </c>
      <c r="E20" s="14">
        <v>1.644295355870919</v>
      </c>
      <c r="F20" s="14">
        <v>61.53846153846154</v>
      </c>
      <c r="G20" s="14">
        <v>1.699968535690189</v>
      </c>
      <c r="H20" s="14">
        <v>255.4188695208203</v>
      </c>
      <c r="I20" s="4" t="s">
        <v>468</v>
      </c>
    </row>
    <row r="21" spans="1:9" ht="46" customHeight="1">
      <c r="A21" s="3" t="s">
        <v>469</v>
      </c>
      <c r="B21" s="14">
        <v>269.2648222614813</v>
      </c>
      <c r="C21" s="14">
        <v>29.90688822654941</v>
      </c>
      <c r="D21" s="14">
        <v>-29.80297755309629</v>
      </c>
      <c r="E21" s="14">
        <v>1.540071329840441</v>
      </c>
      <c r="F21" s="14">
        <v>62.26415094339622</v>
      </c>
      <c r="G21" s="14">
        <v>1.585274216186078</v>
      </c>
      <c r="H21" s="14">
        <v>260.2435013723477</v>
      </c>
      <c r="I21" s="4" t="s">
        <v>470</v>
      </c>
    </row>
    <row r="22" spans="1:9" ht="46" customHeight="1">
      <c r="A22" s="3" t="s">
        <v>471</v>
      </c>
      <c r="B22" s="14">
        <v>271.2525698933369</v>
      </c>
      <c r="C22" s="14">
        <v>30.04654110445071</v>
      </c>
      <c r="D22" s="14">
        <v>-25.35118800928735</v>
      </c>
      <c r="E22" s="14">
        <v>1.56143921322121</v>
      </c>
      <c r="F22" s="14">
        <v>62.22222222222222</v>
      </c>
      <c r="G22" s="14">
        <v>1.756886762943043</v>
      </c>
      <c r="H22" s="14">
        <v>261.1033975415225</v>
      </c>
      <c r="I22" s="4" t="s">
        <v>472</v>
      </c>
    </row>
  </sheetData>
  <mergeCells count="5">
    <mergeCell ref="A1:J1"/>
    <mergeCell ref="A2:J3"/>
    <mergeCell ref="A5:I5"/>
    <mergeCell ref="A13:I15"/>
    <mergeCell ref="A17:I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README &amp; Model Logic</vt:lpstr>
      <vt:lpstr>2. Selection &amp; Weights</vt:lpstr>
      <vt:lpstr>3. Trade Log</vt:lpstr>
      <vt:lpstr>NAV</vt:lpstr>
      <vt:lpstr>5. Risk Metrics</vt:lpstr>
      <vt:lpstr>6. Benchmark Comparison</vt:lpstr>
      <vt:lpstr>7. Assumptions Register</vt:lpstr>
      <vt:lpstr>8. Stress Test Jan-Jun 2026</vt:lpstr>
      <vt:lpstr>9. Survivorship &amp; Concentration</vt:lpstr>
      <vt:lpstr>10. Sensitivity &amp; Phase Test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2026-09-02T19:12:22Z</dcterms:created>
  <dcterms:modified xsi:type="dcterms:W3CDTF">2026-09-02T19:12:22Z</dcterms:modified>
</cp:coreProperties>
</file>